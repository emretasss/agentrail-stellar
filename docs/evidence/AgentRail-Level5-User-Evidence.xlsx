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783557458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54e031565d1429e"/>
    <x:sheet xmlns:r="http://schemas.openxmlformats.org/officeDocument/2006/relationships" name="Participants" sheetId="2" r:id="Rcab47cc7677b4fa3"/>
    <x:sheet xmlns:r="http://schemas.openxmlformats.org/officeDocument/2006/relationships" name="Form Responses" sheetId="3" r:id="Rc2aad9f6a32b4686"/>
    <x:sheet xmlns:r="http://schemas.openxmlformats.org/officeDocument/2006/relationships" name="Improvement Log" sheetId="4" r:id="Rf2abde0f16084485"/>
    <x:sheet xmlns:r="http://schemas.openxmlformats.org/officeDocument/2006/relationships" name="Instructions" sheetId="5" r:id="Rd27150333d0e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"/>
    <x:numFmt numFmtId="202" formatCode="yyyy-mm-dd hh:mm"/>
    <x:numFmt numFmtId="203" formatCode="0"/>
    <x:numFmt numFmtId="204" formatCode="yyyy-mm-dd"/>
  </x:numFmts>
  <x:fonts count="10">
    <x:font>
      <x:sz val="11"/>
      <x:name val="Carlito"/>
    </x:font>
    <x:font>
      <x:b/>
      <x:sz val="22"/>
      <x:color rgb="FFFFFFFF"/>
      <x:name val="Carlito"/>
    </x:font>
    <x:font>
      <x:sz val="11"/>
      <x:color rgb="FFC7D2FE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b/>
      <x:sz val="16"/>
      <x:color rgb="FF081426"/>
      <x:name val="Carlito"/>
    </x:font>
    <x:font>
      <x:sz val="10"/>
      <x:color rgb="FF172033"/>
      <x:name val="Carlito"/>
    </x:font>
    <x:font>
      <x:sz val="12"/>
      <x:color rgb="FF081426"/>
      <x:name val="Carlito"/>
    </x:font>
    <x:font>
      <x:sz val="11"/>
      <x:color rgb="FF78350F"/>
      <x:name val="Carlito"/>
    </x:font>
    <x:font>
      <x:b/>
      <x:sz val="10"/>
      <x:color rgb="FF1720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81426"/>
      </x:patternFill>
    </x:fill>
    <x:fill>
      <x:patternFill patternType="solid">
        <x:fgColor rgb="FF2563EB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E8F1FF"/>
      </x:patternFill>
    </x:fill>
    <x:fill>
      <x:patternFill patternType="solid">
        <x:fgColor rgb="FFFEF3C7"/>
      </x:patternFill>
    </x:fill>
    <x:fill>
      <x:patternFill patternType="solid">
        <x:fgColor rgb="FFE8F1FF"/>
      </x:patternFill>
    </x:fill>
    <x:fill>
      <x:patternFill patternType="solid">
        <x:fgColor rgb="FF2563EB"/>
      </x:patternFill>
    </x:fill>
    <x:fill>
      <x:patternFill patternType="solid">
        <x:fgColor rgb="FFE8F1FF"/>
      </x:patternFill>
    </x:fill>
  </x:fills>
  <x:borders count="23">
    <x:border/>
    <x:border>
      <x:right style="thin">
        <x:color rgb="FF93C5FD"/>
      </x:right>
    </x:border>
    <x:border>
      <x:left style="thin">
        <x:color rgb="FF93C5FD"/>
      </x:left>
    </x:border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top style="thin">
        <x:color rgb="FFD8DEE9"/>
      </x:top>
    </x:border>
    <x:border>
      <x:left style="thin">
        <x:color rgb="FF93C5FD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93C5FD"/>
      </x:right>
      <x:top style="thin">
        <x:color rgb="FF93C5FD"/>
      </x:top>
    </x:border>
    <x:border>
      <x:left style="thin">
        <x:color rgb="FF93C5FD"/>
      </x:left>
      <x:bottom style="thin">
        <x:color rgb="FF93C5FD"/>
      </x:bottom>
    </x:border>
    <x:border>
      <x:bottom style="thin">
        <x:color rgb="FF93C5FD"/>
      </x:bottom>
    </x:border>
    <x:border>
      <x:right style="thin">
        <x:color rgb="FF93C5FD"/>
      </x:right>
      <x:bottom style="thin">
        <x:color rgb="FF93C5FD"/>
      </x:bottom>
    </x:border>
    <x:border>
      <x:left style="thin">
        <x:color rgb="FFD8DEE9"/>
      </x:left>
      <x:right style="thin">
        <x:color rgb="FF93C5FD"/>
      </x:right>
      <x:top style="thin">
        <x:color rgb="FFD8DEE9"/>
      </x:top>
    </x:border>
    <x:border>
      <x:left style="thin">
        <x:color rgb="FF93C5FD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</x:border>
    <x:border>
      <x:right style="thin">
        <x:color rgb="FFD8DEE9"/>
      </x:right>
    </x:border>
    <x:border>
      <x:left style="thin">
        <x:color rgb="FFD8DEE9"/>
      </x:left>
      <x:right style="thin">
        <x:color rgb="FF93C5FD"/>
      </x:right>
    </x:border>
    <x:border>
      <x:left style="thin">
        <x:color rgb="FF93C5FD"/>
      </x:left>
      <x:right style="thin">
        <x:color rgb="FFD8DEE9"/>
      </x:right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93C5FD"/>
      </x:left>
      <x:right style="thin">
        <x:color rgb="FF93C5FD"/>
      </x:right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right"/>
    </x:xf>
    <x:xf numFmtId="200" fontId="5" fillId="5" borderId="0" xfId="0" applyNumberFormat="1" applyFont="1" applyFill="1" applyBorder="1" applyAlignment="1">
      <x:alignment horizontal="right"/>
    </x:xf>
    <x:xf numFmtId="201" fontId="5" fillId="5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2" xfId="0" applyNumberFormat="1" applyFont="1" applyFill="1" applyBorder="1"/>
    <x:xf numFmtId="0" fontId="7" fillId="6" borderId="1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3" fillId="3" borderId="13" xfId="0" applyNumberFormat="1" applyFont="1" applyFill="1" applyBorder="1" applyAlignment="1">
      <x:alignment vertical="center" wrapText="1"/>
    </x:xf>
    <x:xf numFmtId="0" fontId="4" fillId="4" borderId="14" xfId="0" applyNumberFormat="1" applyFont="1" applyFill="1" applyBorder="1"/>
    <x:xf numFmtId="0" fontId="5" fillId="5" borderId="15" xfId="0" applyNumberFormat="1" applyFont="1" applyFill="1" applyBorder="1" applyAlignment="1">
      <x:alignment horizontal="right"/>
    </x:xf>
    <x:xf numFmtId="200" fontId="5" fillId="5" borderId="15" xfId="0" applyNumberFormat="1" applyFont="1" applyFill="1" applyBorder="1" applyAlignment="1">
      <x:alignment horizontal="right"/>
    </x:xf>
    <x:xf numFmtId="201" fontId="5" fillId="5" borderId="15" xfId="0" applyNumberFormat="1" applyFont="1" applyFill="1" applyBorder="1" applyAlignment="1">
      <x:alignment horizontal="right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3" fillId="3" borderId="16" xfId="0" applyNumberFormat="1" applyFont="1" applyFill="1" applyBorder="1" applyAlignment="1">
      <x:alignment vertical="center" wrapText="1"/>
    </x:xf>
    <x:xf numFmtId="0" fontId="3" fillId="3" borderId="17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top"/>
    </x:xf>
    <x:xf numFmtId="0" fontId="6" fillId="0" borderId="19" xfId="0" applyNumberFormat="1" applyFont="1" applyFill="1" applyBorder="1" applyAlignment="1">
      <x:alignment vertical="top"/>
    </x:xf>
    <x:xf numFmtId="0" fontId="6" fillId="0" borderId="20" xfId="0" applyNumberFormat="1" applyFont="1" applyFill="1" applyBorder="1" applyAlignment="1">
      <x:alignment vertical="top"/>
    </x:xf>
    <x:xf numFmtId="0" fontId="6" fillId="0" borderId="21" xfId="0" applyNumberFormat="1" applyFont="1" applyFill="1" applyBorder="1" applyAlignment="1">
      <x:alignment vertical="top"/>
    </x:xf>
    <x:xf numFmtId="0" fontId="3" fillId="3" borderId="22" xfId="0" applyNumberFormat="1" applyFont="1" applyFill="1" applyBorder="1"/>
    <x:xf numFmtId="0" fontId="3" fillId="3" borderId="22" xfId="0" applyNumberFormat="1" applyFont="1" applyFill="1" applyBorder="1" applyAlignment="1">
      <x:alignment wrapText="1"/>
    </x:xf>
    <x:xf numFmtId="0" fontId="3" fillId="3" borderId="22" xfId="0" applyNumberFormat="1" applyFont="1" applyFill="1" applyBorder="1" applyAlignment="1">
      <x:alignment vertical="center" wrapText="1"/>
    </x:xf>
    <x:xf numFmtId="202" fontId="6" fillId="0" borderId="3" xfId="0" applyNumberFormat="1" applyFont="1" applyFill="1" applyBorder="1" applyAlignment="1">
      <x:alignment vertical="top"/>
    </x:xf>
    <x:xf numFmtId="202" fontId="6" fillId="0" borderId="4" xfId="0" applyNumberFormat="1" applyFont="1" applyFill="1" applyBorder="1" applyAlignment="1">
      <x:alignment vertical="top"/>
    </x:xf>
    <x:xf numFmtId="202" fontId="6" fillId="0" borderId="5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203" fontId="6" fillId="0" borderId="4" xfId="0" applyNumberFormat="1" applyFont="1" applyFill="1" applyBorder="1" applyAlignment="1">
      <x:alignment vertical="top"/>
    </x:xf>
    <x:xf numFmtId="203" fontId="6" fillId="0" borderId="5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202" fontId="6" fillId="0" borderId="3" xfId="0" applyNumberFormat="1" applyFont="1" applyFill="1" applyBorder="1" applyAlignment="1">
      <x:alignment vertical="top" wrapText="1"/>
    </x:xf>
    <x:xf numFmtId="203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202" fontId="6" fillId="0" borderId="4" xfId="0" applyNumberFormat="1" applyFont="1" applyFill="1" applyBorder="1" applyAlignment="1">
      <x:alignment vertical="top" wrapText="1"/>
    </x:xf>
    <x:xf numFmtId="203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3" fontId="6" fillId="0" borderId="5" xfId="0" applyNumberFormat="1" applyFont="1" applyFill="1" applyBorder="1" applyAlignment="1">
      <x:alignment vertical="top" wrapText="1"/>
    </x:xf>
    <x:xf numFmtId="204" fontId="6" fillId="0" borderId="3" xfId="0" applyNumberFormat="1" applyFont="1" applyFill="1" applyBorder="1" applyAlignment="1">
      <x:alignment vertical="top"/>
    </x:xf>
    <x:xf numFmtId="204" fontId="6" fillId="0" borderId="4" xfId="0" applyNumberFormat="1" applyFont="1" applyFill="1" applyBorder="1" applyAlignment="1">
      <x:alignment vertical="top"/>
    </x:xf>
    <x:xf numFmtId="204" fontId="6" fillId="0" borderId="5" xfId="0" applyNumberFormat="1" applyFont="1" applyFill="1" applyBorder="1" applyAlignment="1">
      <x:alignment vertical="top"/>
    </x:xf>
    <x:xf numFmtId="204" fontId="6" fillId="0" borderId="3" xfId="0" applyNumberFormat="1" applyFont="1" applyFill="1" applyBorder="1" applyAlignment="1">
      <x:alignment vertical="top" wrapText="1"/>
    </x:xf>
    <x:xf numFmtId="204" fontId="6" fillId="0" borderId="4" xfId="0" applyNumberFormat="1" applyFont="1" applyFill="1" applyBorder="1" applyAlignment="1">
      <x:alignment vertical="top" wrapText="1"/>
    </x:xf>
    <x:xf numFmtId="204" fontId="6" fillId="0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xfId="0" applyNumberFormat="1" applyFont="1" applyFill="1" applyBorder="0"/>
    <x:xf numFmtId="0" fontId="3" fillId="9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>
          <x:bgColor rgb="FFDCFCE7"/>
        </x:patternFill>
      </x:fill>
    </x:dxf>
    <x:dxf>
      <x:font>
        <x:color rgb="FF667085"/>
      </x:font>
      <x:fill>
        <x:patternFill>
          <x:bgColor rgb="FFF4F6F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1D4ED8"/>
      </x:font>
      <x:fill>
        <x:patternFill>
          <x:bgColor rgb="FFE8F1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da93485e54295" /><Relationship Type="http://schemas.openxmlformats.org/officeDocument/2006/relationships/theme" Target="/xl/theme/theme1.xml" Id="R247c6a555c1944fc" /><Relationship Type="http://schemas.openxmlformats.org/officeDocument/2006/relationships/sharedStrings" Target="/xl/sharedStrings.xml" Id="Rb4692b780b56466b" /><Relationship Type="http://schemas.openxmlformats.org/officeDocument/2006/relationships/worksheet" Target="/xl/worksheets/sheet1.xml" Id="Rc54e031565d1429e" /><Relationship Type="http://schemas.openxmlformats.org/officeDocument/2006/relationships/worksheet" Target="/xl/worksheets/sheet2.xml" Id="Rcab47cc7677b4fa3" /><Relationship Type="http://schemas.openxmlformats.org/officeDocument/2006/relationships/worksheet" Target="/xl/worksheets/sheet3.xml" Id="Rc2aad9f6a32b4686" /><Relationship Type="http://schemas.openxmlformats.org/officeDocument/2006/relationships/worksheet" Target="/xl/worksheets/sheet4.xml" Id="Rf2abde0f16084485" /><Relationship Type="http://schemas.openxmlformats.org/officeDocument/2006/relationships/worksheet" Target="/xl/worksheets/sheet5.xml" Id="Rd27150333d0e40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7333ad26ac44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Progress to 50 verified users</a:t>
            </a:r>
          </a:p>
        </c:rich>
      </c:tx>
      <c:overlay val="0"/>
    </c:title>
    <c:plotArea>
      <c:doughnutChart>
        <c:ser>
          <c:idx val="0"/>
          <c:order val="0"/>
          <c:tx>
            <c:v>Users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'Dashboard'!$B$12:$B$14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7333ad26ac44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de15defd1348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AgentRail Level 5 — Validation Dashboard</x:v>
      </x:c>
      <x:c r="B1" s="3" t="str">
        <x:v>AgentRail Level 5 — Validation Dashboard</x:v>
      </x:c>
      <x:c r="C1" s="3" t="str">
        <x:v>AgentRail Level 5 — Validation Dashboard</x:v>
      </x:c>
      <x:c r="D1" s="3" t="str">
        <x:v>AgentRail Level 5 — Validation Dashboard</x:v>
      </x:c>
      <x:c r="E1" s="3" t="str">
        <x:v>AgentRail Level 5 — Validation Dashboard</x:v>
      </x:c>
      <x:c r="F1" s="3" t="str">
        <x:v>AgentRail Level 5 — Validation Dashboard</x:v>
      </x:c>
      <x:c r="G1" s="3" t="str">
        <x:v>AgentRail Level 5 — Validation Dashboard</x:v>
      </x:c>
      <x:c r="H1" s="3" t="str">
        <x:v>AgentRail Level 5 — Validation Dashboard</x:v>
      </x:c>
    </x:row>
    <x:row r="2" ht="25" customHeight="1">
      <x:c r="A2" s="5" t="str">
        <x:v>Formula-driven evidence tracker • Real participants only • Target: 50 verified Testnet users</x:v>
      </x:c>
      <x:c r="B2" s="5" t="str">
        <x:v>Formula-driven evidence tracker • Real participants only • Target: 50 verified Testnet users</x:v>
      </x:c>
      <x:c r="C2" s="5" t="str">
        <x:v>Formula-driven evidence tracker • Real participants only • Target: 50 verified Testnet users</x:v>
      </x:c>
      <x:c r="D2" s="5" t="str">
        <x:v>Formula-driven evidence tracker • Real participants only • Target: 50 verified Testnet users</x:v>
      </x:c>
      <x:c r="E2" s="5" t="str">
        <x:v>Formula-driven evidence tracker • Real participants only • Target: 50 verified Testnet users</x:v>
      </x:c>
      <x:c r="F2" s="5" t="str">
        <x:v>Formula-driven evidence tracker • Real participants only • Target: 50 verified Testnet users</x:v>
      </x:c>
      <x:c r="G2" s="5" t="str">
        <x:v>Formula-driven evidence tracker • Real participants only • Target: 50 verified Testnet users</x:v>
      </x:c>
      <x:c r="H2" s="5" t="str">
        <x:v>Formula-driven evidence tracker • Real participants only • Target: 50 verified Testnet users</x:v>
      </x:c>
    </x:row>
    <x:row r="4" ht="30" customHeight="1">
      <x:c r="A4" s="56" t="str">
        <x:v>KPI</x:v>
      </x:c>
      <x:c r="B4" s="57" t="str">
        <x:v>Value</x:v>
      </x:c>
      <x:c r="D4" s="47" t="str">
        <x:v>Submission rule
A user is Verified only when name, email, unique 56-character wallet, 64-character transaction hash, 1–5 rating, feedback, and explicit consent are present. Never duplicate or fabricate participants.</x:v>
      </x:c>
      <x:c r="E4" s="48" t="str">
        <x:v>Submission rule
A user is Verified only when name, email, unique 56-character wallet, 64-character transaction hash, 1–5 rating, feedback, and explicit consent are present. Never duplicate or fabricate participants.</x:v>
      </x:c>
      <x:c r="F4" s="48" t="str">
        <x:v>Submission rule
A user is Verified only when name, email, unique 56-character wallet, 64-character transaction hash, 1–5 rating, feedback, and explicit consent are present. Never duplicate or fabricate participants.</x:v>
      </x:c>
      <x:c r="G4" s="48" t="str">
        <x:v>Submission rule
A user is Verified only when name, email, unique 56-character wallet, 64-character transaction hash, 1–5 rating, feedback, and explicit consent are present. Never duplicate or fabricate participants.</x:v>
      </x:c>
      <x:c r="H4" s="49" t="str">
        <x:v>Submission rule
A user is Verified only when name, email, unique 56-character wallet, 64-character transaction hash, 1–5 rating, feedback, and explicit consent are present. Never duplicate or fabricate participants.</x:v>
      </x:c>
    </x:row>
    <x:row r="5">
      <x:c r="A5" s="58" t="str">
        <x:v>Verified users</x:v>
      </x:c>
      <x:c r="B5" s="59" t="n">
        <x:f>COUNTIF('Participants'!$N$5:$N$54,"Verified")</x:f>
        <x:v>0</x:v>
      </x:c>
      <x:c r="D5" s="50" t="str">
        <x:v>Submission rule
A user is Verified only when name, email, unique 56-character wallet, 64-character transaction hash, 1–5 rating, feedback, and explicit consent are present. Never duplicate or fabricate participants.</x:v>
      </x:c>
      <x:c r="E5" s="51" t="str">
        <x:v>Submission rule
A user is Verified only when name, email, unique 56-character wallet, 64-character transaction hash, 1–5 rating, feedback, and explicit consent are present. Never duplicate or fabricate participants.</x:v>
      </x:c>
      <x:c r="F5" s="51" t="str">
        <x:v>Submission rule
A user is Verified only when name, email, unique 56-character wallet, 64-character transaction hash, 1–5 rating, feedback, and explicit consent are present. Never duplicate or fabricate participants.</x:v>
      </x:c>
      <x:c r="G5" s="51" t="str">
        <x:v>Submission rule
A user is Verified only when name, email, unique 56-character wallet, 64-character transaction hash, 1–5 rating, feedback, and explicit consent are present. Never duplicate or fabricate participants.</x:v>
      </x:c>
      <x:c r="H5" s="52" t="str">
        <x:v>Submission rule
A user is Verified only when name, email, unique 56-character wallet, 64-character transaction hash, 1–5 rating, feedback, and explicit consent are present. Never duplicate or fabricate participants.</x:v>
      </x:c>
    </x:row>
    <x:row r="6">
      <x:c r="A6" s="58" t="str">
        <x:v>Target users</x:v>
      </x:c>
      <x:c r="B6" s="59" t="n">
        <x:v>50</x:v>
      </x:c>
      <x:c r="D6" s="50" t="str">
        <x:v>Submission rule
A user is Verified only when name, email, unique 56-character wallet, 64-character transaction hash, 1–5 rating, feedback, and explicit consent are present. Never duplicate or fabricate participants.</x:v>
      </x:c>
      <x:c r="E6" s="51" t="str">
        <x:v>Submission rule
A user is Verified only when name, email, unique 56-character wallet, 64-character transaction hash, 1–5 rating, feedback, and explicit consent are present. Never duplicate or fabricate participants.</x:v>
      </x:c>
      <x:c r="F6" s="51" t="str">
        <x:v>Submission rule
A user is Verified only when name, email, unique 56-character wallet, 64-character transaction hash, 1–5 rating, feedback, and explicit consent are present. Never duplicate or fabricate participants.</x:v>
      </x:c>
      <x:c r="G6" s="51" t="str">
        <x:v>Submission rule
A user is Verified only when name, email, unique 56-character wallet, 64-character transaction hash, 1–5 rating, feedback, and explicit consent are present. Never duplicate or fabricate participants.</x:v>
      </x:c>
      <x:c r="H6" s="52" t="str">
        <x:v>Submission rule
A user is Verified only when name, email, unique 56-character wallet, 64-character transaction hash, 1–5 rating, feedback, and explicit consent are present. Never duplicate or fabricate participants.</x:v>
      </x:c>
    </x:row>
    <x:row r="7">
      <x:c r="A7" s="58" t="str">
        <x:v>Completion</x:v>
      </x:c>
      <x:c r="B7" s="60" t="n">
        <x:f>IFERROR(B5/B6,0)</x:f>
        <x:v>0</x:v>
      </x:c>
      <x:c r="D7" s="50" t="str">
        <x:v>Submission rule
A user is Verified only when name, email, unique 56-character wallet, 64-character transaction hash, 1–5 rating, feedback, and explicit consent are present. Never duplicate or fabricate participants.</x:v>
      </x:c>
      <x:c r="E7" s="51" t="str">
        <x:v>Submission rule
A user is Verified only when name, email, unique 56-character wallet, 64-character transaction hash, 1–5 rating, feedback, and explicit consent are present. Never duplicate or fabricate participants.</x:v>
      </x:c>
      <x:c r="F7" s="51" t="str">
        <x:v>Submission rule
A user is Verified only when name, email, unique 56-character wallet, 64-character transaction hash, 1–5 rating, feedback, and explicit consent are present. Never duplicate or fabricate participants.</x:v>
      </x:c>
      <x:c r="G7" s="51" t="str">
        <x:v>Submission rule
A user is Verified only when name, email, unique 56-character wallet, 64-character transaction hash, 1–5 rating, feedback, and explicit consent are present. Never duplicate or fabricate participants.</x:v>
      </x:c>
      <x:c r="H7" s="52" t="str">
        <x:v>Submission rule
A user is Verified only when name, email, unique 56-character wallet, 64-character transaction hash, 1–5 rating, feedback, and explicit consent are present. Never duplicate or fabricate participants.</x:v>
      </x:c>
    </x:row>
    <x:row r="8">
      <x:c r="A8" s="58" t="str">
        <x:v>Responses collected</x:v>
      </x:c>
      <x:c r="B8" s="59" t="n">
        <x:f>COUNTA('Form Responses'!$B$5:$B$204)</x:f>
        <x:v>0</x:v>
      </x:c>
      <x:c r="D8" s="53" t="str">
        <x:v>Submission rule
A user is Verified only when name, email, unique 56-character wallet, 64-character transaction hash, 1–5 rating, feedback, and explicit consent are present. Never duplicate or fabricate participants.</x:v>
      </x:c>
      <x:c r="E8" s="54" t="str">
        <x:v>Submission rule
A user is Verified only when name, email, unique 56-character wallet, 64-character transaction hash, 1–5 rating, feedback, and explicit consent are present. Never duplicate or fabricate participants.</x:v>
      </x:c>
      <x:c r="F8" s="54" t="str">
        <x:v>Submission rule
A user is Verified only when name, email, unique 56-character wallet, 64-character transaction hash, 1–5 rating, feedback, and explicit consent are present. Never duplicate or fabricate participants.</x:v>
      </x:c>
      <x:c r="G8" s="54" t="str">
        <x:v>Submission rule
A user is Verified only when name, email, unique 56-character wallet, 64-character transaction hash, 1–5 rating, feedback, and explicit consent are present. Never duplicate or fabricate participants.</x:v>
      </x:c>
      <x:c r="H8" s="55" t="str">
        <x:v>Submission rule
A user is Verified only when name, email, unique 56-character wallet, 64-character transaction hash, 1–5 rating, feedback, and explicit consent are present. Never duplicate or fabricate participants.</x:v>
      </x:c>
    </x:row>
    <x:row r="9">
      <x:c r="A9" s="58" t="str">
        <x:v>Average rating</x:v>
      </x:c>
      <x:c r="B9" s="61" t="n">
        <x:f>IFERROR(AVERAGEIF('Form Responses'!$E$5:$E$204,"&gt;0"),0)</x:f>
        <x:v>0</x:v>
      </x:c>
    </x:row>
    <x:row r="10">
      <x:c r="A10" s="62"/>
      <x:c r="B10" s="63"/>
    </x:row>
    <x:row r="11" ht="30" customHeight="1">
      <x:c r="A11" s="64" t="str">
        <x:v>Evidence status</x:v>
      </x:c>
      <x:c r="B11" s="65" t="str">
        <x:v>Users</x:v>
      </x:c>
    </x:row>
    <x:row r="12">
      <x:c r="A12" s="66" t="str">
        <x:v>Verified</x:v>
      </x:c>
      <x:c r="B12" s="67" t="n">
        <x:f>COUNTIF('Participants'!$N$5:$N$54,"Verified")</x:f>
        <x:v>0</x:v>
      </x:c>
    </x:row>
    <x:row r="13">
      <x:c r="A13" s="68" t="str">
        <x:v>Incomplete / review</x:v>
      </x:c>
      <x:c r="B13" s="69" t="n">
        <x:f>COUNTIF('Participants'!$N$5:$N$54,"Incomplete")+COUNTIF('Participants'!$N$5:$N$54,"Review")</x:f>
        <x:v>0</x:v>
      </x:c>
    </x:row>
    <x:row r="14">
      <x:c r="A14" s="68" t="str">
        <x:v>Pending</x:v>
      </x:c>
      <x:c r="B14" s="69" t="n">
        <x:f>COUNTIF('Participants'!$N$5:$N$54,"Pending")</x:f>
        <x:v>50</x:v>
      </x:c>
    </x:row>
  </x:sheetData>
  <x:mergeCells>
    <x:mergeCell ref="A1:H1"/>
    <x:mergeCell ref="A2:H2"/>
    <x:mergeCell ref="D4:H8"/>
  </x:mergeCells>
  <x:pageMargins left="0.7" right="0.7" top="0.75" bottom="0.75" header="0.3" footer="0.3"/>
  <x:drawing xmlns:r="http://schemas.openxmlformats.org/officeDocument/2006/relationships" r:id="Rdcde15defd1348c0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44" hidden="0" customWidth="1"/>
    <x:col min="5" max="5" width="18" hidden="0" customWidth="1"/>
    <x:col min="6" max="6" width="56" hidden="0" customWidth="1"/>
    <x:col min="7" max="7" width="42" hidden="0" customWidth="1"/>
    <x:col min="8" max="8" width="22" hidden="0" customWidth="1"/>
    <x:col min="9" max="9" width="12" hidden="0" customWidth="1"/>
    <x:col min="10" max="10" width="46" hidden="0" customWidth="1"/>
    <x:col min="11" max="11" width="18" hidden="0" customWidth="1"/>
    <x:col min="12" max="12" width="16" hidden="0" customWidth="1"/>
    <x:col min="13" max="13" width="14" hidden="0" customWidth="1"/>
    <x:col min="14" max="14" width="14" hidden="0" customWidth="1"/>
  </x:cols>
  <x:sheetData>
    <x:row r="1" ht="34" customHeight="1">
      <x:c r="A1" s="3" t="str">
        <x:v>Verified Testnet Participants</x:v>
      </x:c>
      <x:c r="B1" s="3" t="str">
        <x:v>Verified Testnet Participants</x:v>
      </x:c>
      <x:c r="C1" s="3" t="str">
        <x:v>Verified Testnet Participants</x:v>
      </x:c>
      <x:c r="D1" s="3" t="str">
        <x:v>Verified Testnet Participants</x:v>
      </x:c>
      <x:c r="E1" s="3" t="str">
        <x:v>Verified Testnet Participants</x:v>
      </x:c>
      <x:c r="F1" s="3" t="str">
        <x:v>Verified Testnet Participants</x:v>
      </x:c>
      <x:c r="G1" s="3" t="str">
        <x:v>Verified Testnet Participants</x:v>
      </x:c>
      <x:c r="H1" s="3" t="str">
        <x:v>Verified Testnet Participants</x:v>
      </x:c>
      <x:c r="I1" s="3" t="str">
        <x:v>Verified Testnet Participants</x:v>
      </x:c>
      <x:c r="J1" s="3" t="str">
        <x:v>Verified Testnet Participants</x:v>
      </x:c>
      <x:c r="K1" s="3" t="str">
        <x:v>Verified Testnet Participants</x:v>
      </x:c>
      <x:c r="L1" s="3" t="str">
        <x:v>Verified Testnet Participants</x:v>
      </x:c>
      <x:c r="M1" s="3" t="str">
        <x:v>Verified Testnet Participants</x:v>
      </x:c>
      <x:c r="N1" s="3" t="str">
        <x:v>Verified Testnet Participants</x:v>
      </x:c>
    </x:row>
    <x:row r="2" ht="25" customHeight="1">
      <x:c r="A2" s="5" t="str">
        <x:v>One row per real person. Keep the full private workbook access-controlled; publish only a consented/redacted copy.</x:v>
      </x:c>
      <x:c r="B2" s="5" t="str">
        <x:v>One row per real person. Keep the full private workbook access-controlled; publish only a consented/redacted copy.</x:v>
      </x:c>
      <x:c r="C2" s="5" t="str">
        <x:v>One row per real person. Keep the full private workbook access-controlled; publish only a consented/redacted copy.</x:v>
      </x:c>
      <x:c r="D2" s="5" t="str">
        <x:v>One row per real person. Keep the full private workbook access-controlled; publish only a consented/redacted copy.</x:v>
      </x:c>
      <x:c r="E2" s="5" t="str">
        <x:v>One row per real person. Keep the full private workbook access-controlled; publish only a consented/redacted copy.</x:v>
      </x:c>
      <x:c r="F2" s="5" t="str">
        <x:v>One row per real person. Keep the full private workbook access-controlled; publish only a consented/redacted copy.</x:v>
      </x:c>
      <x:c r="G2" s="5" t="str">
        <x:v>One row per real person. Keep the full private workbook access-controlled; publish only a consented/redacted copy.</x:v>
      </x:c>
      <x:c r="H2" s="5" t="str">
        <x:v>One row per real person. Keep the full private workbook access-controlled; publish only a consented/redacted copy.</x:v>
      </x:c>
      <x:c r="I2" s="5" t="str">
        <x:v>One row per real person. Keep the full private workbook access-controlled; publish only a consented/redacted copy.</x:v>
      </x:c>
      <x:c r="J2" s="5" t="str">
        <x:v>One row per real person. Keep the full private workbook access-controlled; publish only a consented/redacted copy.</x:v>
      </x:c>
      <x:c r="K2" s="5" t="str">
        <x:v>One row per real person. Keep the full private workbook access-controlled; publish only a consented/redacted copy.</x:v>
      </x:c>
      <x:c r="L2" s="5" t="str">
        <x:v>One row per real person. Keep the full private workbook access-controlled; publish only a consented/redacted copy.</x:v>
      </x:c>
      <x:c r="M2" s="5" t="str">
        <x:v>One row per real person. Keep the full private workbook access-controlled; publish only a consented/redacted copy.</x:v>
      </x:c>
      <x:c r="N2" s="5" t="str">
        <x:v>One row per real person. Keep the full private workbook access-controlled; publish only a consented/redacted copy.</x:v>
      </x:c>
    </x:row>
    <x:row r="4" ht="30" customHeight="1">
      <x:c r="A4" s="12" t="str">
        <x:v>Participant ID</x:v>
      </x:c>
      <x:c r="B4" s="72" t="str">
        <x:v>Name</x:v>
      </x:c>
      <x:c r="C4" s="72" t="str">
        <x:v>Email</x:v>
      </x:c>
      <x:c r="D4" s="72" t="str">
        <x:v>Wallet Address</x:v>
      </x:c>
      <x:c r="E4" s="72" t="str">
        <x:v>Onboarded At</x:v>
      </x:c>
      <x:c r="F4" s="72" t="str">
        <x:v>Transaction Hash</x:v>
      </x:c>
      <x:c r="G4" s="72" t="str">
        <x:v>Transaction URL</x:v>
      </x:c>
      <x:c r="H4" s="72" t="str">
        <x:v>Product Action</x:v>
      </x:c>
      <x:c r="I4" s="72" t="str">
        <x:v>Rating (1–5)</x:v>
      </x:c>
      <x:c r="J4" s="72" t="str">
        <x:v>Feedback</x:v>
      </x:c>
      <x:c r="K4" s="72" t="str">
        <x:v>Public Evidence Consent</x:v>
      </x:c>
      <x:c r="L4" s="72" t="str">
        <x:v>Duplicate Wallet</x:v>
      </x:c>
      <x:c r="M4" s="72" t="str">
        <x:v>Evidence Check</x:v>
      </x:c>
      <x:c r="N4" s="13" t="str">
        <x:v>Status</x:v>
      </x:c>
    </x:row>
    <x:row r="5">
      <x:c r="A5" s="25" t="str">
        <x:v>P-001</x:v>
      </x:c>
      <x:c r="B5" s="79" t="str"/>
      <x:c r="C5" s="79" t="str"/>
      <x:c r="D5" s="79" t="str"/>
      <x:c r="E5" s="80"/>
      <x:c r="F5" s="79" t="str"/>
      <x:c r="G5" s="79" t="str">
        <x:f>IF(F5="","","https://stellar.expert/explorer/testnet/tx/"&amp;F5)</x:f>
      </x:c>
      <x:c r="H5" s="79" t="str"/>
      <x:c r="I5" s="81"/>
      <x:c r="J5" s="79" t="str"/>
      <x:c r="K5" s="79" t="str"/>
      <x:c r="L5" s="79" t="str">
        <x:f>IF(D5="","",IF(COUNTIF($D$5:$D$54,D5)&gt;1,"DUPLICATE","OK"))</x:f>
      </x:c>
      <x:c r="M5" s="79" t="b">
        <x:f>AND(B5&lt;&gt;"",C5&lt;&gt;"",LEN(D5)=56,LEN(F5)=64,H5&lt;&gt;"",I5&gt;=1,I5&lt;=5,J5&lt;&gt;"",K5="Yes",L5="OK")</x:f>
        <x:v>0</x:v>
      </x:c>
      <x:c r="N5" s="79" t="str">
        <x:f>IF(D5="","Pending",IF(L5="DUPLICATE","Review",IF(M5,"Verified","Incomplete")))</x:f>
        <x:v>Pending</x:v>
      </x:c>
    </x:row>
    <x:row r="6">
      <x:c r="A6" s="26" t="str">
        <x:v>P-002</x:v>
      </x:c>
      <x:c r="B6" s="82" t="str"/>
      <x:c r="C6" s="82" t="str"/>
      <x:c r="D6" s="82" t="str"/>
      <x:c r="E6" s="83"/>
      <x:c r="F6" s="82" t="str"/>
      <x:c r="G6" s="82" t="str">
        <x:f>IF(F6="","","https://stellar.expert/explorer/testnet/tx/"&amp;F6)</x:f>
      </x:c>
      <x:c r="H6" s="82" t="str"/>
      <x:c r="I6" s="84"/>
      <x:c r="J6" s="82" t="str"/>
      <x:c r="K6" s="82" t="str"/>
      <x:c r="L6" s="82" t="str">
        <x:f>IF(D6="","",IF(COUNTIF($D$5:$D$54,D6)&gt;1,"DUPLICATE","OK"))</x:f>
      </x:c>
      <x:c r="M6" s="82" t="b">
        <x:f>AND(B6&lt;&gt;"",C6&lt;&gt;"",LEN(D6)=56,LEN(F6)=64,H6&lt;&gt;"",I6&gt;=1,I6&lt;=5,J6&lt;&gt;"",K6="Yes",L6="OK")</x:f>
        <x:v>0</x:v>
      </x:c>
      <x:c r="N6" s="82" t="str">
        <x:f>IF(D6="","Pending",IF(L6="DUPLICATE","Review",IF(M6,"Verified","Incomplete")))</x:f>
        <x:v>Pending</x:v>
      </x:c>
    </x:row>
    <x:row r="7">
      <x:c r="A7" s="26" t="str">
        <x:v>P-003</x:v>
      </x:c>
      <x:c r="B7" s="82" t="str"/>
      <x:c r="C7" s="82" t="str"/>
      <x:c r="D7" s="82" t="str"/>
      <x:c r="E7" s="83"/>
      <x:c r="F7" s="82" t="str"/>
      <x:c r="G7" s="82" t="str">
        <x:f>IF(F7="","","https://stellar.expert/explorer/testnet/tx/"&amp;F7)</x:f>
      </x:c>
      <x:c r="H7" s="82" t="str"/>
      <x:c r="I7" s="84"/>
      <x:c r="J7" s="82" t="str"/>
      <x:c r="K7" s="82" t="str"/>
      <x:c r="L7" s="82" t="str">
        <x:f>IF(D7="","",IF(COUNTIF($D$5:$D$54,D7)&gt;1,"DUPLICATE","OK"))</x:f>
      </x:c>
      <x:c r="M7" s="82" t="b">
        <x:f>AND(B7&lt;&gt;"",C7&lt;&gt;"",LEN(D7)=56,LEN(F7)=64,H7&lt;&gt;"",I7&gt;=1,I7&lt;=5,J7&lt;&gt;"",K7="Yes",L7="OK")</x:f>
        <x:v>0</x:v>
      </x:c>
      <x:c r="N7" s="82" t="str">
        <x:f>IF(D7="","Pending",IF(L7="DUPLICATE","Review",IF(M7,"Verified","Incomplete")))</x:f>
        <x:v>Pending</x:v>
      </x:c>
    </x:row>
    <x:row r="8">
      <x:c r="A8" s="26" t="str">
        <x:v>P-004</x:v>
      </x:c>
      <x:c r="B8" s="82" t="str"/>
      <x:c r="C8" s="82" t="str"/>
      <x:c r="D8" s="82" t="str"/>
      <x:c r="E8" s="83"/>
      <x:c r="F8" s="82" t="str"/>
      <x:c r="G8" s="82" t="str">
        <x:f>IF(F8="","","https://stellar.expert/explorer/testnet/tx/"&amp;F8)</x:f>
      </x:c>
      <x:c r="H8" s="82" t="str"/>
      <x:c r="I8" s="84"/>
      <x:c r="J8" s="82" t="str"/>
      <x:c r="K8" s="82" t="str"/>
      <x:c r="L8" s="82" t="str">
        <x:f>IF(D8="","",IF(COUNTIF($D$5:$D$54,D8)&gt;1,"DUPLICATE","OK"))</x:f>
      </x:c>
      <x:c r="M8" s="82" t="b">
        <x:f>AND(B8&lt;&gt;"",C8&lt;&gt;"",LEN(D8)=56,LEN(F8)=64,H8&lt;&gt;"",I8&gt;=1,I8&lt;=5,J8&lt;&gt;"",K8="Yes",L8="OK")</x:f>
        <x:v>0</x:v>
      </x:c>
      <x:c r="N8" s="82" t="str">
        <x:f>IF(D8="","Pending",IF(L8="DUPLICATE","Review",IF(M8,"Verified","Incomplete")))</x:f>
        <x:v>Pending</x:v>
      </x:c>
    </x:row>
    <x:row r="9">
      <x:c r="A9" s="26" t="str">
        <x:v>P-005</x:v>
      </x:c>
      <x:c r="B9" s="82" t="str"/>
      <x:c r="C9" s="82" t="str"/>
      <x:c r="D9" s="82" t="str"/>
      <x:c r="E9" s="83"/>
      <x:c r="F9" s="82" t="str"/>
      <x:c r="G9" s="82" t="str">
        <x:f>IF(F9="","","https://stellar.expert/explorer/testnet/tx/"&amp;F9)</x:f>
      </x:c>
      <x:c r="H9" s="82" t="str"/>
      <x:c r="I9" s="84"/>
      <x:c r="J9" s="82" t="str"/>
      <x:c r="K9" s="82" t="str"/>
      <x:c r="L9" s="82" t="str">
        <x:f>IF(D9="","",IF(COUNTIF($D$5:$D$54,D9)&gt;1,"DUPLICATE","OK"))</x:f>
      </x:c>
      <x:c r="M9" s="82" t="b">
        <x:f>AND(B9&lt;&gt;"",C9&lt;&gt;"",LEN(D9)=56,LEN(F9)=64,H9&lt;&gt;"",I9&gt;=1,I9&lt;=5,J9&lt;&gt;"",K9="Yes",L9="OK")</x:f>
        <x:v>0</x:v>
      </x:c>
      <x:c r="N9" s="82" t="str">
        <x:f>IF(D9="","Pending",IF(L9="DUPLICATE","Review",IF(M9,"Verified","Incomplete")))</x:f>
        <x:v>Pending</x:v>
      </x:c>
    </x:row>
    <x:row r="10">
      <x:c r="A10" s="26" t="str">
        <x:v>P-006</x:v>
      </x:c>
      <x:c r="B10" s="82" t="str"/>
      <x:c r="C10" s="82" t="str"/>
      <x:c r="D10" s="82" t="str"/>
      <x:c r="E10" s="83"/>
      <x:c r="F10" s="82" t="str"/>
      <x:c r="G10" s="82" t="str">
        <x:f>IF(F10="","","https://stellar.expert/explorer/testnet/tx/"&amp;F10)</x:f>
      </x:c>
      <x:c r="H10" s="82" t="str"/>
      <x:c r="I10" s="84"/>
      <x:c r="J10" s="82" t="str"/>
      <x:c r="K10" s="82" t="str"/>
      <x:c r="L10" s="82" t="str">
        <x:f>IF(D10="","",IF(COUNTIF($D$5:$D$54,D10)&gt;1,"DUPLICATE","OK"))</x:f>
      </x:c>
      <x:c r="M10" s="82" t="b">
        <x:f>AND(B10&lt;&gt;"",C10&lt;&gt;"",LEN(D10)=56,LEN(F10)=64,H10&lt;&gt;"",I10&gt;=1,I10&lt;=5,J10&lt;&gt;"",K10="Yes",L10="OK")</x:f>
        <x:v>0</x:v>
      </x:c>
      <x:c r="N10" s="82" t="str">
        <x:f>IF(D10="","Pending",IF(L10="DUPLICATE","Review",IF(M10,"Verified","Incomplete")))</x:f>
        <x:v>Pending</x:v>
      </x:c>
    </x:row>
    <x:row r="11">
      <x:c r="A11" s="26" t="str">
        <x:v>P-007</x:v>
      </x:c>
      <x:c r="B11" s="82" t="str"/>
      <x:c r="C11" s="82" t="str"/>
      <x:c r="D11" s="82" t="str"/>
      <x:c r="E11" s="83"/>
      <x:c r="F11" s="82" t="str"/>
      <x:c r="G11" s="82" t="str">
        <x:f>IF(F11="","","https://stellar.expert/explorer/testnet/tx/"&amp;F11)</x:f>
      </x:c>
      <x:c r="H11" s="82" t="str"/>
      <x:c r="I11" s="84"/>
      <x:c r="J11" s="82" t="str"/>
      <x:c r="K11" s="82" t="str"/>
      <x:c r="L11" s="82" t="str">
        <x:f>IF(D11="","",IF(COUNTIF($D$5:$D$54,D11)&gt;1,"DUPLICATE","OK"))</x:f>
      </x:c>
      <x:c r="M11" s="82" t="b">
        <x:f>AND(B11&lt;&gt;"",C11&lt;&gt;"",LEN(D11)=56,LEN(F11)=64,H11&lt;&gt;"",I11&gt;=1,I11&lt;=5,J11&lt;&gt;"",K11="Yes",L11="OK")</x:f>
        <x:v>0</x:v>
      </x:c>
      <x:c r="N11" s="82" t="str">
        <x:f>IF(D11="","Pending",IF(L11="DUPLICATE","Review",IF(M11,"Verified","Incomplete")))</x:f>
        <x:v>Pending</x:v>
      </x:c>
    </x:row>
    <x:row r="12">
      <x:c r="A12" s="26" t="str">
        <x:v>P-008</x:v>
      </x:c>
      <x:c r="B12" s="82" t="str"/>
      <x:c r="C12" s="82" t="str"/>
      <x:c r="D12" s="82" t="str"/>
      <x:c r="E12" s="83"/>
      <x:c r="F12" s="82" t="str"/>
      <x:c r="G12" s="82" t="str">
        <x:f>IF(F12="","","https://stellar.expert/explorer/testnet/tx/"&amp;F12)</x:f>
      </x:c>
      <x:c r="H12" s="82" t="str"/>
      <x:c r="I12" s="84"/>
      <x:c r="J12" s="82" t="str"/>
      <x:c r="K12" s="82" t="str"/>
      <x:c r="L12" s="82" t="str">
        <x:f>IF(D12="","",IF(COUNTIF($D$5:$D$54,D12)&gt;1,"DUPLICATE","OK"))</x:f>
      </x:c>
      <x:c r="M12" s="82" t="b">
        <x:f>AND(B12&lt;&gt;"",C12&lt;&gt;"",LEN(D12)=56,LEN(F12)=64,H12&lt;&gt;"",I12&gt;=1,I12&lt;=5,J12&lt;&gt;"",K12="Yes",L12="OK")</x:f>
        <x:v>0</x:v>
      </x:c>
      <x:c r="N12" s="82" t="str">
        <x:f>IF(D12="","Pending",IF(L12="DUPLICATE","Review",IF(M12,"Verified","Incomplete")))</x:f>
        <x:v>Pending</x:v>
      </x:c>
    </x:row>
    <x:row r="13">
      <x:c r="A13" s="26" t="str">
        <x:v>P-009</x:v>
      </x:c>
      <x:c r="B13" s="82" t="str"/>
      <x:c r="C13" s="82" t="str"/>
      <x:c r="D13" s="82" t="str"/>
      <x:c r="E13" s="83"/>
      <x:c r="F13" s="82" t="str"/>
      <x:c r="G13" s="82" t="str">
        <x:f>IF(F13="","","https://stellar.expert/explorer/testnet/tx/"&amp;F13)</x:f>
      </x:c>
      <x:c r="H13" s="82" t="str"/>
      <x:c r="I13" s="84"/>
      <x:c r="J13" s="82" t="str"/>
      <x:c r="K13" s="82" t="str"/>
      <x:c r="L13" s="82" t="str">
        <x:f>IF(D13="","",IF(COUNTIF($D$5:$D$54,D13)&gt;1,"DUPLICATE","OK"))</x:f>
      </x:c>
      <x:c r="M13" s="82" t="b">
        <x:f>AND(B13&lt;&gt;"",C13&lt;&gt;"",LEN(D13)=56,LEN(F13)=64,H13&lt;&gt;"",I13&gt;=1,I13&lt;=5,J13&lt;&gt;"",K13="Yes",L13="OK")</x:f>
        <x:v>0</x:v>
      </x:c>
      <x:c r="N13" s="82" t="str">
        <x:f>IF(D13="","Pending",IF(L13="DUPLICATE","Review",IF(M13,"Verified","Incomplete")))</x:f>
        <x:v>Pending</x:v>
      </x:c>
    </x:row>
    <x:row r="14">
      <x:c r="A14" s="26" t="str">
        <x:v>P-010</x:v>
      </x:c>
      <x:c r="B14" s="82" t="str"/>
      <x:c r="C14" s="82" t="str"/>
      <x:c r="D14" s="82" t="str"/>
      <x:c r="E14" s="83"/>
      <x:c r="F14" s="82" t="str"/>
      <x:c r="G14" s="82" t="str">
        <x:f>IF(F14="","","https://stellar.expert/explorer/testnet/tx/"&amp;F14)</x:f>
      </x:c>
      <x:c r="H14" s="82" t="str"/>
      <x:c r="I14" s="84"/>
      <x:c r="J14" s="82" t="str"/>
      <x:c r="K14" s="82" t="str"/>
      <x:c r="L14" s="82" t="str">
        <x:f>IF(D14="","",IF(COUNTIF($D$5:$D$54,D14)&gt;1,"DUPLICATE","OK"))</x:f>
      </x:c>
      <x:c r="M14" s="82" t="b">
        <x:f>AND(B14&lt;&gt;"",C14&lt;&gt;"",LEN(D14)=56,LEN(F14)=64,H14&lt;&gt;"",I14&gt;=1,I14&lt;=5,J14&lt;&gt;"",K14="Yes",L14="OK")</x:f>
        <x:v>0</x:v>
      </x:c>
      <x:c r="N14" s="82" t="str">
        <x:f>IF(D14="","Pending",IF(L14="DUPLICATE","Review",IF(M14,"Verified","Incomplete")))</x:f>
        <x:v>Pending</x:v>
      </x:c>
    </x:row>
    <x:row r="15">
      <x:c r="A15" s="26" t="str">
        <x:v>P-011</x:v>
      </x:c>
      <x:c r="B15" s="82" t="str"/>
      <x:c r="C15" s="82" t="str"/>
      <x:c r="D15" s="82" t="str"/>
      <x:c r="E15" s="83"/>
      <x:c r="F15" s="82" t="str"/>
      <x:c r="G15" s="82" t="str">
        <x:f>IF(F15="","","https://stellar.expert/explorer/testnet/tx/"&amp;F15)</x:f>
      </x:c>
      <x:c r="H15" s="82" t="str"/>
      <x:c r="I15" s="84"/>
      <x:c r="J15" s="82" t="str"/>
      <x:c r="K15" s="82" t="str"/>
      <x:c r="L15" s="82" t="str">
        <x:f>IF(D15="","",IF(COUNTIF($D$5:$D$54,D15)&gt;1,"DUPLICATE","OK"))</x:f>
      </x:c>
      <x:c r="M15" s="82" t="b">
        <x:f>AND(B15&lt;&gt;"",C15&lt;&gt;"",LEN(D15)=56,LEN(F15)=64,H15&lt;&gt;"",I15&gt;=1,I15&lt;=5,J15&lt;&gt;"",K15="Yes",L15="OK")</x:f>
        <x:v>0</x:v>
      </x:c>
      <x:c r="N15" s="82" t="str">
        <x:f>IF(D15="","Pending",IF(L15="DUPLICATE","Review",IF(M15,"Verified","Incomplete")))</x:f>
        <x:v>Pending</x:v>
      </x:c>
    </x:row>
    <x:row r="16">
      <x:c r="A16" s="26" t="str">
        <x:v>P-012</x:v>
      </x:c>
      <x:c r="B16" s="82" t="str"/>
      <x:c r="C16" s="82" t="str"/>
      <x:c r="D16" s="82" t="str"/>
      <x:c r="E16" s="83"/>
      <x:c r="F16" s="82" t="str"/>
      <x:c r="G16" s="82" t="str">
        <x:f>IF(F16="","","https://stellar.expert/explorer/testnet/tx/"&amp;F16)</x:f>
      </x:c>
      <x:c r="H16" s="82" t="str"/>
      <x:c r="I16" s="84"/>
      <x:c r="J16" s="82" t="str"/>
      <x:c r="K16" s="82" t="str"/>
      <x:c r="L16" s="82" t="str">
        <x:f>IF(D16="","",IF(COUNTIF($D$5:$D$54,D16)&gt;1,"DUPLICATE","OK"))</x:f>
      </x:c>
      <x:c r="M16" s="82" t="b">
        <x:f>AND(B16&lt;&gt;"",C16&lt;&gt;"",LEN(D16)=56,LEN(F16)=64,H16&lt;&gt;"",I16&gt;=1,I16&lt;=5,J16&lt;&gt;"",K16="Yes",L16="OK")</x:f>
        <x:v>0</x:v>
      </x:c>
      <x:c r="N16" s="82" t="str">
        <x:f>IF(D16="","Pending",IF(L16="DUPLICATE","Review",IF(M16,"Verified","Incomplete")))</x:f>
        <x:v>Pending</x:v>
      </x:c>
    </x:row>
    <x:row r="17">
      <x:c r="A17" s="26" t="str">
        <x:v>P-013</x:v>
      </x:c>
      <x:c r="B17" s="82" t="str"/>
      <x:c r="C17" s="82" t="str"/>
      <x:c r="D17" s="82" t="str"/>
      <x:c r="E17" s="83"/>
      <x:c r="F17" s="82" t="str"/>
      <x:c r="G17" s="82" t="str">
        <x:f>IF(F17="","","https://stellar.expert/explorer/testnet/tx/"&amp;F17)</x:f>
      </x:c>
      <x:c r="H17" s="82" t="str"/>
      <x:c r="I17" s="84"/>
      <x:c r="J17" s="82" t="str"/>
      <x:c r="K17" s="82" t="str"/>
      <x:c r="L17" s="82" t="str">
        <x:f>IF(D17="","",IF(COUNTIF($D$5:$D$54,D17)&gt;1,"DUPLICATE","OK"))</x:f>
      </x:c>
      <x:c r="M17" s="82" t="b">
        <x:f>AND(B17&lt;&gt;"",C17&lt;&gt;"",LEN(D17)=56,LEN(F17)=64,H17&lt;&gt;"",I17&gt;=1,I17&lt;=5,J17&lt;&gt;"",K17="Yes",L17="OK")</x:f>
        <x:v>0</x:v>
      </x:c>
      <x:c r="N17" s="82" t="str">
        <x:f>IF(D17="","Pending",IF(L17="DUPLICATE","Review",IF(M17,"Verified","Incomplete")))</x:f>
        <x:v>Pending</x:v>
      </x:c>
    </x:row>
    <x:row r="18">
      <x:c r="A18" s="26" t="str">
        <x:v>P-014</x:v>
      </x:c>
      <x:c r="B18" s="82" t="str"/>
      <x:c r="C18" s="82" t="str"/>
      <x:c r="D18" s="82" t="str"/>
      <x:c r="E18" s="83"/>
      <x:c r="F18" s="82" t="str"/>
      <x:c r="G18" s="82" t="str">
        <x:f>IF(F18="","","https://stellar.expert/explorer/testnet/tx/"&amp;F18)</x:f>
      </x:c>
      <x:c r="H18" s="82" t="str"/>
      <x:c r="I18" s="84"/>
      <x:c r="J18" s="82" t="str"/>
      <x:c r="K18" s="82" t="str"/>
      <x:c r="L18" s="82" t="str">
        <x:f>IF(D18="","",IF(COUNTIF($D$5:$D$54,D18)&gt;1,"DUPLICATE","OK"))</x:f>
      </x:c>
      <x:c r="M18" s="82" t="b">
        <x:f>AND(B18&lt;&gt;"",C18&lt;&gt;"",LEN(D18)=56,LEN(F18)=64,H18&lt;&gt;"",I18&gt;=1,I18&lt;=5,J18&lt;&gt;"",K18="Yes",L18="OK")</x:f>
        <x:v>0</x:v>
      </x:c>
      <x:c r="N18" s="82" t="str">
        <x:f>IF(D18="","Pending",IF(L18="DUPLICATE","Review",IF(M18,"Verified","Incomplete")))</x:f>
        <x:v>Pending</x:v>
      </x:c>
    </x:row>
    <x:row r="19">
      <x:c r="A19" s="26" t="str">
        <x:v>P-015</x:v>
      </x:c>
      <x:c r="B19" s="82" t="str"/>
      <x:c r="C19" s="82" t="str"/>
      <x:c r="D19" s="82" t="str"/>
      <x:c r="E19" s="83"/>
      <x:c r="F19" s="82" t="str"/>
      <x:c r="G19" s="82" t="str">
        <x:f>IF(F19="","","https://stellar.expert/explorer/testnet/tx/"&amp;F19)</x:f>
      </x:c>
      <x:c r="H19" s="82" t="str"/>
      <x:c r="I19" s="84"/>
      <x:c r="J19" s="82" t="str"/>
      <x:c r="K19" s="82" t="str"/>
      <x:c r="L19" s="82" t="str">
        <x:f>IF(D19="","",IF(COUNTIF($D$5:$D$54,D19)&gt;1,"DUPLICATE","OK"))</x:f>
      </x:c>
      <x:c r="M19" s="82" t="b">
        <x:f>AND(B19&lt;&gt;"",C19&lt;&gt;"",LEN(D19)=56,LEN(F19)=64,H19&lt;&gt;"",I19&gt;=1,I19&lt;=5,J19&lt;&gt;"",K19="Yes",L19="OK")</x:f>
        <x:v>0</x:v>
      </x:c>
      <x:c r="N19" s="82" t="str">
        <x:f>IF(D19="","Pending",IF(L19="DUPLICATE","Review",IF(M19,"Verified","Incomplete")))</x:f>
        <x:v>Pending</x:v>
      </x:c>
    </x:row>
    <x:row r="20">
      <x:c r="A20" s="26" t="str">
        <x:v>P-016</x:v>
      </x:c>
      <x:c r="B20" s="82" t="str"/>
      <x:c r="C20" s="82" t="str"/>
      <x:c r="D20" s="82" t="str"/>
      <x:c r="E20" s="83"/>
      <x:c r="F20" s="82" t="str"/>
      <x:c r="G20" s="82" t="str">
        <x:f>IF(F20="","","https://stellar.expert/explorer/testnet/tx/"&amp;F20)</x:f>
      </x:c>
      <x:c r="H20" s="82" t="str"/>
      <x:c r="I20" s="84"/>
      <x:c r="J20" s="82" t="str"/>
      <x:c r="K20" s="82" t="str"/>
      <x:c r="L20" s="82" t="str">
        <x:f>IF(D20="","",IF(COUNTIF($D$5:$D$54,D20)&gt;1,"DUPLICATE","OK"))</x:f>
      </x:c>
      <x:c r="M20" s="82" t="b">
        <x:f>AND(B20&lt;&gt;"",C20&lt;&gt;"",LEN(D20)=56,LEN(F20)=64,H20&lt;&gt;"",I20&gt;=1,I20&lt;=5,J20&lt;&gt;"",K20="Yes",L20="OK")</x:f>
        <x:v>0</x:v>
      </x:c>
      <x:c r="N20" s="82" t="str">
        <x:f>IF(D20="","Pending",IF(L20="DUPLICATE","Review",IF(M20,"Verified","Incomplete")))</x:f>
        <x:v>Pending</x:v>
      </x:c>
    </x:row>
    <x:row r="21">
      <x:c r="A21" s="26" t="str">
        <x:v>P-017</x:v>
      </x:c>
      <x:c r="B21" s="82" t="str"/>
      <x:c r="C21" s="82" t="str"/>
      <x:c r="D21" s="82" t="str"/>
      <x:c r="E21" s="83"/>
      <x:c r="F21" s="82" t="str"/>
      <x:c r="G21" s="82" t="str">
        <x:f>IF(F21="","","https://stellar.expert/explorer/testnet/tx/"&amp;F21)</x:f>
      </x:c>
      <x:c r="H21" s="82" t="str"/>
      <x:c r="I21" s="84"/>
      <x:c r="J21" s="82" t="str"/>
      <x:c r="K21" s="82" t="str"/>
      <x:c r="L21" s="82" t="str">
        <x:f>IF(D21="","",IF(COUNTIF($D$5:$D$54,D21)&gt;1,"DUPLICATE","OK"))</x:f>
      </x:c>
      <x:c r="M21" s="82" t="b">
        <x:f>AND(B21&lt;&gt;"",C21&lt;&gt;"",LEN(D21)=56,LEN(F21)=64,H21&lt;&gt;"",I21&gt;=1,I21&lt;=5,J21&lt;&gt;"",K21="Yes",L21="OK")</x:f>
        <x:v>0</x:v>
      </x:c>
      <x:c r="N21" s="82" t="str">
        <x:f>IF(D21="","Pending",IF(L21="DUPLICATE","Review",IF(M21,"Verified","Incomplete")))</x:f>
        <x:v>Pending</x:v>
      </x:c>
    </x:row>
    <x:row r="22">
      <x:c r="A22" s="26" t="str">
        <x:v>P-018</x:v>
      </x:c>
      <x:c r="B22" s="82" t="str"/>
      <x:c r="C22" s="82" t="str"/>
      <x:c r="D22" s="82" t="str"/>
      <x:c r="E22" s="83"/>
      <x:c r="F22" s="82" t="str"/>
      <x:c r="G22" s="82" t="str">
        <x:f>IF(F22="","","https://stellar.expert/explorer/testnet/tx/"&amp;F22)</x:f>
      </x:c>
      <x:c r="H22" s="82" t="str"/>
      <x:c r="I22" s="84"/>
      <x:c r="J22" s="82" t="str"/>
      <x:c r="K22" s="82" t="str"/>
      <x:c r="L22" s="82" t="str">
        <x:f>IF(D22="","",IF(COUNTIF($D$5:$D$54,D22)&gt;1,"DUPLICATE","OK"))</x:f>
      </x:c>
      <x:c r="M22" s="82" t="b">
        <x:f>AND(B22&lt;&gt;"",C22&lt;&gt;"",LEN(D22)=56,LEN(F22)=64,H22&lt;&gt;"",I22&gt;=1,I22&lt;=5,J22&lt;&gt;"",K22="Yes",L22="OK")</x:f>
        <x:v>0</x:v>
      </x:c>
      <x:c r="N22" s="82" t="str">
        <x:f>IF(D22="","Pending",IF(L22="DUPLICATE","Review",IF(M22,"Verified","Incomplete")))</x:f>
        <x:v>Pending</x:v>
      </x:c>
    </x:row>
    <x:row r="23">
      <x:c r="A23" s="26" t="str">
        <x:v>P-019</x:v>
      </x:c>
      <x:c r="B23" s="82" t="str"/>
      <x:c r="C23" s="82" t="str"/>
      <x:c r="D23" s="82" t="str"/>
      <x:c r="E23" s="83"/>
      <x:c r="F23" s="82" t="str"/>
      <x:c r="G23" s="82" t="str">
        <x:f>IF(F23="","","https://stellar.expert/explorer/testnet/tx/"&amp;F23)</x:f>
      </x:c>
      <x:c r="H23" s="82" t="str"/>
      <x:c r="I23" s="84"/>
      <x:c r="J23" s="82" t="str"/>
      <x:c r="K23" s="82" t="str"/>
      <x:c r="L23" s="82" t="str">
        <x:f>IF(D23="","",IF(COUNTIF($D$5:$D$54,D23)&gt;1,"DUPLICATE","OK"))</x:f>
      </x:c>
      <x:c r="M23" s="82" t="b">
        <x:f>AND(B23&lt;&gt;"",C23&lt;&gt;"",LEN(D23)=56,LEN(F23)=64,H23&lt;&gt;"",I23&gt;=1,I23&lt;=5,J23&lt;&gt;"",K23="Yes",L23="OK")</x:f>
        <x:v>0</x:v>
      </x:c>
      <x:c r="N23" s="82" t="str">
        <x:f>IF(D23="","Pending",IF(L23="DUPLICATE","Review",IF(M23,"Verified","Incomplete")))</x:f>
        <x:v>Pending</x:v>
      </x:c>
    </x:row>
    <x:row r="24">
      <x:c r="A24" s="26" t="str">
        <x:v>P-020</x:v>
      </x:c>
      <x:c r="B24" s="82" t="str"/>
      <x:c r="C24" s="82" t="str"/>
      <x:c r="D24" s="82" t="str"/>
      <x:c r="E24" s="83"/>
      <x:c r="F24" s="82" t="str"/>
      <x:c r="G24" s="82" t="str">
        <x:f>IF(F24="","","https://stellar.expert/explorer/testnet/tx/"&amp;F24)</x:f>
      </x:c>
      <x:c r="H24" s="82" t="str"/>
      <x:c r="I24" s="84"/>
      <x:c r="J24" s="82" t="str"/>
      <x:c r="K24" s="82" t="str"/>
      <x:c r="L24" s="82" t="str">
        <x:f>IF(D24="","",IF(COUNTIF($D$5:$D$54,D24)&gt;1,"DUPLICATE","OK"))</x:f>
      </x:c>
      <x:c r="M24" s="82" t="b">
        <x:f>AND(B24&lt;&gt;"",C24&lt;&gt;"",LEN(D24)=56,LEN(F24)=64,H24&lt;&gt;"",I24&gt;=1,I24&lt;=5,J24&lt;&gt;"",K24="Yes",L24="OK")</x:f>
        <x:v>0</x:v>
      </x:c>
      <x:c r="N24" s="82" t="str">
        <x:f>IF(D24="","Pending",IF(L24="DUPLICATE","Review",IF(M24,"Verified","Incomplete")))</x:f>
        <x:v>Pending</x:v>
      </x:c>
    </x:row>
    <x:row r="25">
      <x:c r="A25" s="26" t="str">
        <x:v>P-021</x:v>
      </x:c>
      <x:c r="B25" s="82" t="str"/>
      <x:c r="C25" s="82" t="str"/>
      <x:c r="D25" s="82" t="str"/>
      <x:c r="E25" s="83"/>
      <x:c r="F25" s="82" t="str"/>
      <x:c r="G25" s="82" t="str">
        <x:f>IF(F25="","","https://stellar.expert/explorer/testnet/tx/"&amp;F25)</x:f>
      </x:c>
      <x:c r="H25" s="82" t="str"/>
      <x:c r="I25" s="84"/>
      <x:c r="J25" s="82" t="str"/>
      <x:c r="K25" s="82" t="str"/>
      <x:c r="L25" s="82" t="str">
        <x:f>IF(D25="","",IF(COUNTIF($D$5:$D$54,D25)&gt;1,"DUPLICATE","OK"))</x:f>
      </x:c>
      <x:c r="M25" s="82" t="b">
        <x:f>AND(B25&lt;&gt;"",C25&lt;&gt;"",LEN(D25)=56,LEN(F25)=64,H25&lt;&gt;"",I25&gt;=1,I25&lt;=5,J25&lt;&gt;"",K25="Yes",L25="OK")</x:f>
        <x:v>0</x:v>
      </x:c>
      <x:c r="N25" s="82" t="str">
        <x:f>IF(D25="","Pending",IF(L25="DUPLICATE","Review",IF(M25,"Verified","Incomplete")))</x:f>
        <x:v>Pending</x:v>
      </x:c>
    </x:row>
    <x:row r="26">
      <x:c r="A26" s="26" t="str">
        <x:v>P-022</x:v>
      </x:c>
      <x:c r="B26" s="82" t="str"/>
      <x:c r="C26" s="82" t="str"/>
      <x:c r="D26" s="82" t="str"/>
      <x:c r="E26" s="83"/>
      <x:c r="F26" s="82" t="str"/>
      <x:c r="G26" s="82" t="str">
        <x:f>IF(F26="","","https://stellar.expert/explorer/testnet/tx/"&amp;F26)</x:f>
      </x:c>
      <x:c r="H26" s="82" t="str"/>
      <x:c r="I26" s="84"/>
      <x:c r="J26" s="82" t="str"/>
      <x:c r="K26" s="82" t="str"/>
      <x:c r="L26" s="82" t="str">
        <x:f>IF(D26="","",IF(COUNTIF($D$5:$D$54,D26)&gt;1,"DUPLICATE","OK"))</x:f>
      </x:c>
      <x:c r="M26" s="82" t="b">
        <x:f>AND(B26&lt;&gt;"",C26&lt;&gt;"",LEN(D26)=56,LEN(F26)=64,H26&lt;&gt;"",I26&gt;=1,I26&lt;=5,J26&lt;&gt;"",K26="Yes",L26="OK")</x:f>
        <x:v>0</x:v>
      </x:c>
      <x:c r="N26" s="82" t="str">
        <x:f>IF(D26="","Pending",IF(L26="DUPLICATE","Review",IF(M26,"Verified","Incomplete")))</x:f>
        <x:v>Pending</x:v>
      </x:c>
    </x:row>
    <x:row r="27">
      <x:c r="A27" s="26" t="str">
        <x:v>P-023</x:v>
      </x:c>
      <x:c r="B27" s="82" t="str"/>
      <x:c r="C27" s="82" t="str"/>
      <x:c r="D27" s="82" t="str"/>
      <x:c r="E27" s="83"/>
      <x:c r="F27" s="82" t="str"/>
      <x:c r="G27" s="82" t="str">
        <x:f>IF(F27="","","https://stellar.expert/explorer/testnet/tx/"&amp;F27)</x:f>
      </x:c>
      <x:c r="H27" s="82" t="str"/>
      <x:c r="I27" s="84"/>
      <x:c r="J27" s="82" t="str"/>
      <x:c r="K27" s="82" t="str"/>
      <x:c r="L27" s="82" t="str">
        <x:f>IF(D27="","",IF(COUNTIF($D$5:$D$54,D27)&gt;1,"DUPLICATE","OK"))</x:f>
      </x:c>
      <x:c r="M27" s="82" t="b">
        <x:f>AND(B27&lt;&gt;"",C27&lt;&gt;"",LEN(D27)=56,LEN(F27)=64,H27&lt;&gt;"",I27&gt;=1,I27&lt;=5,J27&lt;&gt;"",K27="Yes",L27="OK")</x:f>
        <x:v>0</x:v>
      </x:c>
      <x:c r="N27" s="82" t="str">
        <x:f>IF(D27="","Pending",IF(L27="DUPLICATE","Review",IF(M27,"Verified","Incomplete")))</x:f>
        <x:v>Pending</x:v>
      </x:c>
    </x:row>
    <x:row r="28">
      <x:c r="A28" s="26" t="str">
        <x:v>P-024</x:v>
      </x:c>
      <x:c r="B28" s="82" t="str"/>
      <x:c r="C28" s="82" t="str"/>
      <x:c r="D28" s="82" t="str"/>
      <x:c r="E28" s="83"/>
      <x:c r="F28" s="82" t="str"/>
      <x:c r="G28" s="82" t="str">
        <x:f>IF(F28="","","https://stellar.expert/explorer/testnet/tx/"&amp;F28)</x:f>
      </x:c>
      <x:c r="H28" s="82" t="str"/>
      <x:c r="I28" s="84"/>
      <x:c r="J28" s="82" t="str"/>
      <x:c r="K28" s="82" t="str"/>
      <x:c r="L28" s="82" t="str">
        <x:f>IF(D28="","",IF(COUNTIF($D$5:$D$54,D28)&gt;1,"DUPLICATE","OK"))</x:f>
      </x:c>
      <x:c r="M28" s="82" t="b">
        <x:f>AND(B28&lt;&gt;"",C28&lt;&gt;"",LEN(D28)=56,LEN(F28)=64,H28&lt;&gt;"",I28&gt;=1,I28&lt;=5,J28&lt;&gt;"",K28="Yes",L28="OK")</x:f>
        <x:v>0</x:v>
      </x:c>
      <x:c r="N28" s="82" t="str">
        <x:f>IF(D28="","Pending",IF(L28="DUPLICATE","Review",IF(M28,"Verified","Incomplete")))</x:f>
        <x:v>Pending</x:v>
      </x:c>
    </x:row>
    <x:row r="29">
      <x:c r="A29" s="26" t="str">
        <x:v>P-025</x:v>
      </x:c>
      <x:c r="B29" s="82" t="str"/>
      <x:c r="C29" s="82" t="str"/>
      <x:c r="D29" s="82" t="str"/>
      <x:c r="E29" s="83"/>
      <x:c r="F29" s="82" t="str"/>
      <x:c r="G29" s="82" t="str">
        <x:f>IF(F29="","","https://stellar.expert/explorer/testnet/tx/"&amp;F29)</x:f>
      </x:c>
      <x:c r="H29" s="82" t="str"/>
      <x:c r="I29" s="84"/>
      <x:c r="J29" s="82" t="str"/>
      <x:c r="K29" s="82" t="str"/>
      <x:c r="L29" s="82" t="str">
        <x:f>IF(D29="","",IF(COUNTIF($D$5:$D$54,D29)&gt;1,"DUPLICATE","OK"))</x:f>
      </x:c>
      <x:c r="M29" s="82" t="b">
        <x:f>AND(B29&lt;&gt;"",C29&lt;&gt;"",LEN(D29)=56,LEN(F29)=64,H29&lt;&gt;"",I29&gt;=1,I29&lt;=5,J29&lt;&gt;"",K29="Yes",L29="OK")</x:f>
        <x:v>0</x:v>
      </x:c>
      <x:c r="N29" s="82" t="str">
        <x:f>IF(D29="","Pending",IF(L29="DUPLICATE","Review",IF(M29,"Verified","Incomplete")))</x:f>
        <x:v>Pending</x:v>
      </x:c>
    </x:row>
    <x:row r="30">
      <x:c r="A30" s="26" t="str">
        <x:v>P-026</x:v>
      </x:c>
      <x:c r="B30" s="82" t="str"/>
      <x:c r="C30" s="82" t="str"/>
      <x:c r="D30" s="82" t="str"/>
      <x:c r="E30" s="83"/>
      <x:c r="F30" s="82" t="str"/>
      <x:c r="G30" s="82" t="str">
        <x:f>IF(F30="","","https://stellar.expert/explorer/testnet/tx/"&amp;F30)</x:f>
      </x:c>
      <x:c r="H30" s="82" t="str"/>
      <x:c r="I30" s="84"/>
      <x:c r="J30" s="82" t="str"/>
      <x:c r="K30" s="82" t="str"/>
      <x:c r="L30" s="82" t="str">
        <x:f>IF(D30="","",IF(COUNTIF($D$5:$D$54,D30)&gt;1,"DUPLICATE","OK"))</x:f>
      </x:c>
      <x:c r="M30" s="82" t="b">
        <x:f>AND(B30&lt;&gt;"",C30&lt;&gt;"",LEN(D30)=56,LEN(F30)=64,H30&lt;&gt;"",I30&gt;=1,I30&lt;=5,J30&lt;&gt;"",K30="Yes",L30="OK")</x:f>
        <x:v>0</x:v>
      </x:c>
      <x:c r="N30" s="82" t="str">
        <x:f>IF(D30="","Pending",IF(L30="DUPLICATE","Review",IF(M30,"Verified","Incomplete")))</x:f>
        <x:v>Pending</x:v>
      </x:c>
    </x:row>
    <x:row r="31">
      <x:c r="A31" s="26" t="str">
        <x:v>P-027</x:v>
      </x:c>
      <x:c r="B31" s="82" t="str"/>
      <x:c r="C31" s="82" t="str"/>
      <x:c r="D31" s="82" t="str"/>
      <x:c r="E31" s="83"/>
      <x:c r="F31" s="82" t="str"/>
      <x:c r="G31" s="82" t="str">
        <x:f>IF(F31="","","https://stellar.expert/explorer/testnet/tx/"&amp;F31)</x:f>
      </x:c>
      <x:c r="H31" s="82" t="str"/>
      <x:c r="I31" s="84"/>
      <x:c r="J31" s="82" t="str"/>
      <x:c r="K31" s="82" t="str"/>
      <x:c r="L31" s="82" t="str">
        <x:f>IF(D31="","",IF(COUNTIF($D$5:$D$54,D31)&gt;1,"DUPLICATE","OK"))</x:f>
      </x:c>
      <x:c r="M31" s="82" t="b">
        <x:f>AND(B31&lt;&gt;"",C31&lt;&gt;"",LEN(D31)=56,LEN(F31)=64,H31&lt;&gt;"",I31&gt;=1,I31&lt;=5,J31&lt;&gt;"",K31="Yes",L31="OK")</x:f>
        <x:v>0</x:v>
      </x:c>
      <x:c r="N31" s="82" t="str">
        <x:f>IF(D31="","Pending",IF(L31="DUPLICATE","Review",IF(M31,"Verified","Incomplete")))</x:f>
        <x:v>Pending</x:v>
      </x:c>
    </x:row>
    <x:row r="32">
      <x:c r="A32" s="26" t="str">
        <x:v>P-028</x:v>
      </x:c>
      <x:c r="B32" s="82" t="str"/>
      <x:c r="C32" s="82" t="str"/>
      <x:c r="D32" s="82" t="str"/>
      <x:c r="E32" s="83"/>
      <x:c r="F32" s="82" t="str"/>
      <x:c r="G32" s="82" t="str">
        <x:f>IF(F32="","","https://stellar.expert/explorer/testnet/tx/"&amp;F32)</x:f>
      </x:c>
      <x:c r="H32" s="82" t="str"/>
      <x:c r="I32" s="84"/>
      <x:c r="J32" s="82" t="str"/>
      <x:c r="K32" s="82" t="str"/>
      <x:c r="L32" s="82" t="str">
        <x:f>IF(D32="","",IF(COUNTIF($D$5:$D$54,D32)&gt;1,"DUPLICATE","OK"))</x:f>
      </x:c>
      <x:c r="M32" s="82" t="b">
        <x:f>AND(B32&lt;&gt;"",C32&lt;&gt;"",LEN(D32)=56,LEN(F32)=64,H32&lt;&gt;"",I32&gt;=1,I32&lt;=5,J32&lt;&gt;"",K32="Yes",L32="OK")</x:f>
        <x:v>0</x:v>
      </x:c>
      <x:c r="N32" s="82" t="str">
        <x:f>IF(D32="","Pending",IF(L32="DUPLICATE","Review",IF(M32,"Verified","Incomplete")))</x:f>
        <x:v>Pending</x:v>
      </x:c>
    </x:row>
    <x:row r="33">
      <x:c r="A33" s="26" t="str">
        <x:v>P-029</x:v>
      </x:c>
      <x:c r="B33" s="82" t="str"/>
      <x:c r="C33" s="82" t="str"/>
      <x:c r="D33" s="82" t="str"/>
      <x:c r="E33" s="83"/>
      <x:c r="F33" s="82" t="str"/>
      <x:c r="G33" s="82" t="str">
        <x:f>IF(F33="","","https://stellar.expert/explorer/testnet/tx/"&amp;F33)</x:f>
      </x:c>
      <x:c r="H33" s="82" t="str"/>
      <x:c r="I33" s="84"/>
      <x:c r="J33" s="82" t="str"/>
      <x:c r="K33" s="82" t="str"/>
      <x:c r="L33" s="82" t="str">
        <x:f>IF(D33="","",IF(COUNTIF($D$5:$D$54,D33)&gt;1,"DUPLICATE","OK"))</x:f>
      </x:c>
      <x:c r="M33" s="82" t="b">
        <x:f>AND(B33&lt;&gt;"",C33&lt;&gt;"",LEN(D33)=56,LEN(F33)=64,H33&lt;&gt;"",I33&gt;=1,I33&lt;=5,J33&lt;&gt;"",K33="Yes",L33="OK")</x:f>
        <x:v>0</x:v>
      </x:c>
      <x:c r="N33" s="82" t="str">
        <x:f>IF(D33="","Pending",IF(L33="DUPLICATE","Review",IF(M33,"Verified","Incomplete")))</x:f>
        <x:v>Pending</x:v>
      </x:c>
    </x:row>
    <x:row r="34">
      <x:c r="A34" s="26" t="str">
        <x:v>P-030</x:v>
      </x:c>
      <x:c r="B34" s="82" t="str"/>
      <x:c r="C34" s="82" t="str"/>
      <x:c r="D34" s="82" t="str"/>
      <x:c r="E34" s="83"/>
      <x:c r="F34" s="82" t="str"/>
      <x:c r="G34" s="82" t="str">
        <x:f>IF(F34="","","https://stellar.expert/explorer/testnet/tx/"&amp;F34)</x:f>
      </x:c>
      <x:c r="H34" s="82" t="str"/>
      <x:c r="I34" s="84"/>
      <x:c r="J34" s="82" t="str"/>
      <x:c r="K34" s="82" t="str"/>
      <x:c r="L34" s="82" t="str">
        <x:f>IF(D34="","",IF(COUNTIF($D$5:$D$54,D34)&gt;1,"DUPLICATE","OK"))</x:f>
      </x:c>
      <x:c r="M34" s="82" t="b">
        <x:f>AND(B34&lt;&gt;"",C34&lt;&gt;"",LEN(D34)=56,LEN(F34)=64,H34&lt;&gt;"",I34&gt;=1,I34&lt;=5,J34&lt;&gt;"",K34="Yes",L34="OK")</x:f>
        <x:v>0</x:v>
      </x:c>
      <x:c r="N34" s="82" t="str">
        <x:f>IF(D34="","Pending",IF(L34="DUPLICATE","Review",IF(M34,"Verified","Incomplete")))</x:f>
        <x:v>Pending</x:v>
      </x:c>
    </x:row>
    <x:row r="35">
      <x:c r="A35" s="26" t="str">
        <x:v>P-031</x:v>
      </x:c>
      <x:c r="B35" s="82" t="str"/>
      <x:c r="C35" s="82" t="str"/>
      <x:c r="D35" s="82" t="str"/>
      <x:c r="E35" s="83"/>
      <x:c r="F35" s="82" t="str"/>
      <x:c r="G35" s="82" t="str">
        <x:f>IF(F35="","","https://stellar.expert/explorer/testnet/tx/"&amp;F35)</x:f>
      </x:c>
      <x:c r="H35" s="82" t="str"/>
      <x:c r="I35" s="84"/>
      <x:c r="J35" s="82" t="str"/>
      <x:c r="K35" s="82" t="str"/>
      <x:c r="L35" s="82" t="str">
        <x:f>IF(D35="","",IF(COUNTIF($D$5:$D$54,D35)&gt;1,"DUPLICATE","OK"))</x:f>
      </x:c>
      <x:c r="M35" s="82" t="b">
        <x:f>AND(B35&lt;&gt;"",C35&lt;&gt;"",LEN(D35)=56,LEN(F35)=64,H35&lt;&gt;"",I35&gt;=1,I35&lt;=5,J35&lt;&gt;"",K35="Yes",L35="OK")</x:f>
        <x:v>0</x:v>
      </x:c>
      <x:c r="N35" s="82" t="str">
        <x:f>IF(D35="","Pending",IF(L35="DUPLICATE","Review",IF(M35,"Verified","Incomplete")))</x:f>
        <x:v>Pending</x:v>
      </x:c>
    </x:row>
    <x:row r="36">
      <x:c r="A36" s="26" t="str">
        <x:v>P-032</x:v>
      </x:c>
      <x:c r="B36" s="82" t="str"/>
      <x:c r="C36" s="82" t="str"/>
      <x:c r="D36" s="82" t="str"/>
      <x:c r="E36" s="83"/>
      <x:c r="F36" s="82" t="str"/>
      <x:c r="G36" s="82" t="str">
        <x:f>IF(F36="","","https://stellar.expert/explorer/testnet/tx/"&amp;F36)</x:f>
      </x:c>
      <x:c r="H36" s="82" t="str"/>
      <x:c r="I36" s="84"/>
      <x:c r="J36" s="82" t="str"/>
      <x:c r="K36" s="82" t="str"/>
      <x:c r="L36" s="82" t="str">
        <x:f>IF(D36="","",IF(COUNTIF($D$5:$D$54,D36)&gt;1,"DUPLICATE","OK"))</x:f>
      </x:c>
      <x:c r="M36" s="82" t="b">
        <x:f>AND(B36&lt;&gt;"",C36&lt;&gt;"",LEN(D36)=56,LEN(F36)=64,H36&lt;&gt;"",I36&gt;=1,I36&lt;=5,J36&lt;&gt;"",K36="Yes",L36="OK")</x:f>
        <x:v>0</x:v>
      </x:c>
      <x:c r="N36" s="82" t="str">
        <x:f>IF(D36="","Pending",IF(L36="DUPLICATE","Review",IF(M36,"Verified","Incomplete")))</x:f>
        <x:v>Pending</x:v>
      </x:c>
    </x:row>
    <x:row r="37">
      <x:c r="A37" s="26" t="str">
        <x:v>P-033</x:v>
      </x:c>
      <x:c r="B37" s="82" t="str"/>
      <x:c r="C37" s="82" t="str"/>
      <x:c r="D37" s="82" t="str"/>
      <x:c r="E37" s="83"/>
      <x:c r="F37" s="82" t="str"/>
      <x:c r="G37" s="82" t="str">
        <x:f>IF(F37="","","https://stellar.expert/explorer/testnet/tx/"&amp;F37)</x:f>
      </x:c>
      <x:c r="H37" s="82" t="str"/>
      <x:c r="I37" s="84"/>
      <x:c r="J37" s="82" t="str"/>
      <x:c r="K37" s="82" t="str"/>
      <x:c r="L37" s="82" t="str">
        <x:f>IF(D37="","",IF(COUNTIF($D$5:$D$54,D37)&gt;1,"DUPLICATE","OK"))</x:f>
      </x:c>
      <x:c r="M37" s="82" t="b">
        <x:f>AND(B37&lt;&gt;"",C37&lt;&gt;"",LEN(D37)=56,LEN(F37)=64,H37&lt;&gt;"",I37&gt;=1,I37&lt;=5,J37&lt;&gt;"",K37="Yes",L37="OK")</x:f>
        <x:v>0</x:v>
      </x:c>
      <x:c r="N37" s="82" t="str">
        <x:f>IF(D37="","Pending",IF(L37="DUPLICATE","Review",IF(M37,"Verified","Incomplete")))</x:f>
        <x:v>Pending</x:v>
      </x:c>
    </x:row>
    <x:row r="38">
      <x:c r="A38" s="26" t="str">
        <x:v>P-034</x:v>
      </x:c>
      <x:c r="B38" s="82" t="str"/>
      <x:c r="C38" s="82" t="str"/>
      <x:c r="D38" s="82" t="str"/>
      <x:c r="E38" s="83"/>
      <x:c r="F38" s="82" t="str"/>
      <x:c r="G38" s="82" t="str">
        <x:f>IF(F38="","","https://stellar.expert/explorer/testnet/tx/"&amp;F38)</x:f>
      </x:c>
      <x:c r="H38" s="82" t="str"/>
      <x:c r="I38" s="84"/>
      <x:c r="J38" s="82" t="str"/>
      <x:c r="K38" s="82" t="str"/>
      <x:c r="L38" s="82" t="str">
        <x:f>IF(D38="","",IF(COUNTIF($D$5:$D$54,D38)&gt;1,"DUPLICATE","OK"))</x:f>
      </x:c>
      <x:c r="M38" s="82" t="b">
        <x:f>AND(B38&lt;&gt;"",C38&lt;&gt;"",LEN(D38)=56,LEN(F38)=64,H38&lt;&gt;"",I38&gt;=1,I38&lt;=5,J38&lt;&gt;"",K38="Yes",L38="OK")</x:f>
        <x:v>0</x:v>
      </x:c>
      <x:c r="N38" s="82" t="str">
        <x:f>IF(D38="","Pending",IF(L38="DUPLICATE","Review",IF(M38,"Verified","Incomplete")))</x:f>
        <x:v>Pending</x:v>
      </x:c>
    </x:row>
    <x:row r="39">
      <x:c r="A39" s="26" t="str">
        <x:v>P-035</x:v>
      </x:c>
      <x:c r="B39" s="82" t="str"/>
      <x:c r="C39" s="82" t="str"/>
      <x:c r="D39" s="82" t="str"/>
      <x:c r="E39" s="83"/>
      <x:c r="F39" s="82" t="str"/>
      <x:c r="G39" s="82" t="str">
        <x:f>IF(F39="","","https://stellar.expert/explorer/testnet/tx/"&amp;F39)</x:f>
      </x:c>
      <x:c r="H39" s="82" t="str"/>
      <x:c r="I39" s="84"/>
      <x:c r="J39" s="82" t="str"/>
      <x:c r="K39" s="82" t="str"/>
      <x:c r="L39" s="82" t="str">
        <x:f>IF(D39="","",IF(COUNTIF($D$5:$D$54,D39)&gt;1,"DUPLICATE","OK"))</x:f>
      </x:c>
      <x:c r="M39" s="82" t="b">
        <x:f>AND(B39&lt;&gt;"",C39&lt;&gt;"",LEN(D39)=56,LEN(F39)=64,H39&lt;&gt;"",I39&gt;=1,I39&lt;=5,J39&lt;&gt;"",K39="Yes",L39="OK")</x:f>
        <x:v>0</x:v>
      </x:c>
      <x:c r="N39" s="82" t="str">
        <x:f>IF(D39="","Pending",IF(L39="DUPLICATE","Review",IF(M39,"Verified","Incomplete")))</x:f>
        <x:v>Pending</x:v>
      </x:c>
    </x:row>
    <x:row r="40">
      <x:c r="A40" s="26" t="str">
        <x:v>P-036</x:v>
      </x:c>
      <x:c r="B40" s="82" t="str"/>
      <x:c r="C40" s="82" t="str"/>
      <x:c r="D40" s="82" t="str"/>
      <x:c r="E40" s="83"/>
      <x:c r="F40" s="82" t="str"/>
      <x:c r="G40" s="82" t="str">
        <x:f>IF(F40="","","https://stellar.expert/explorer/testnet/tx/"&amp;F40)</x:f>
      </x:c>
      <x:c r="H40" s="82" t="str"/>
      <x:c r="I40" s="84"/>
      <x:c r="J40" s="82" t="str"/>
      <x:c r="K40" s="82" t="str"/>
      <x:c r="L40" s="82" t="str">
        <x:f>IF(D40="","",IF(COUNTIF($D$5:$D$54,D40)&gt;1,"DUPLICATE","OK"))</x:f>
      </x:c>
      <x:c r="M40" s="82" t="b">
        <x:f>AND(B40&lt;&gt;"",C40&lt;&gt;"",LEN(D40)=56,LEN(F40)=64,H40&lt;&gt;"",I40&gt;=1,I40&lt;=5,J40&lt;&gt;"",K40="Yes",L40="OK")</x:f>
        <x:v>0</x:v>
      </x:c>
      <x:c r="N40" s="82" t="str">
        <x:f>IF(D40="","Pending",IF(L40="DUPLICATE","Review",IF(M40,"Verified","Incomplete")))</x:f>
        <x:v>Pending</x:v>
      </x:c>
    </x:row>
    <x:row r="41">
      <x:c r="A41" s="26" t="str">
        <x:v>P-037</x:v>
      </x:c>
      <x:c r="B41" s="82" t="str"/>
      <x:c r="C41" s="82" t="str"/>
      <x:c r="D41" s="82" t="str"/>
      <x:c r="E41" s="83"/>
      <x:c r="F41" s="82" t="str"/>
      <x:c r="G41" s="82" t="str">
        <x:f>IF(F41="","","https://stellar.expert/explorer/testnet/tx/"&amp;F41)</x:f>
      </x:c>
      <x:c r="H41" s="82" t="str"/>
      <x:c r="I41" s="84"/>
      <x:c r="J41" s="82" t="str"/>
      <x:c r="K41" s="82" t="str"/>
      <x:c r="L41" s="82" t="str">
        <x:f>IF(D41="","",IF(COUNTIF($D$5:$D$54,D41)&gt;1,"DUPLICATE","OK"))</x:f>
      </x:c>
      <x:c r="M41" s="82" t="b">
        <x:f>AND(B41&lt;&gt;"",C41&lt;&gt;"",LEN(D41)=56,LEN(F41)=64,H41&lt;&gt;"",I41&gt;=1,I41&lt;=5,J41&lt;&gt;"",K41="Yes",L41="OK")</x:f>
        <x:v>0</x:v>
      </x:c>
      <x:c r="N41" s="82" t="str">
        <x:f>IF(D41="","Pending",IF(L41="DUPLICATE","Review",IF(M41,"Verified","Incomplete")))</x:f>
        <x:v>Pending</x:v>
      </x:c>
    </x:row>
    <x:row r="42">
      <x:c r="A42" s="26" t="str">
        <x:v>P-038</x:v>
      </x:c>
      <x:c r="B42" s="82" t="str"/>
      <x:c r="C42" s="82" t="str"/>
      <x:c r="D42" s="82" t="str"/>
      <x:c r="E42" s="83"/>
      <x:c r="F42" s="82" t="str"/>
      <x:c r="G42" s="82" t="str">
        <x:f>IF(F42="","","https://stellar.expert/explorer/testnet/tx/"&amp;F42)</x:f>
      </x:c>
      <x:c r="H42" s="82" t="str"/>
      <x:c r="I42" s="84"/>
      <x:c r="J42" s="82" t="str"/>
      <x:c r="K42" s="82" t="str"/>
      <x:c r="L42" s="82" t="str">
        <x:f>IF(D42="","",IF(COUNTIF($D$5:$D$54,D42)&gt;1,"DUPLICATE","OK"))</x:f>
      </x:c>
      <x:c r="M42" s="82" t="b">
        <x:f>AND(B42&lt;&gt;"",C42&lt;&gt;"",LEN(D42)=56,LEN(F42)=64,H42&lt;&gt;"",I42&gt;=1,I42&lt;=5,J42&lt;&gt;"",K42="Yes",L42="OK")</x:f>
        <x:v>0</x:v>
      </x:c>
      <x:c r="N42" s="82" t="str">
        <x:f>IF(D42="","Pending",IF(L42="DUPLICATE","Review",IF(M42,"Verified","Incomplete")))</x:f>
        <x:v>Pending</x:v>
      </x:c>
    </x:row>
    <x:row r="43">
      <x:c r="A43" s="26" t="str">
        <x:v>P-039</x:v>
      </x:c>
      <x:c r="B43" s="82" t="str"/>
      <x:c r="C43" s="82" t="str"/>
      <x:c r="D43" s="82" t="str"/>
      <x:c r="E43" s="83"/>
      <x:c r="F43" s="82" t="str"/>
      <x:c r="G43" s="82" t="str">
        <x:f>IF(F43="","","https://stellar.expert/explorer/testnet/tx/"&amp;F43)</x:f>
      </x:c>
      <x:c r="H43" s="82" t="str"/>
      <x:c r="I43" s="84"/>
      <x:c r="J43" s="82" t="str"/>
      <x:c r="K43" s="82" t="str"/>
      <x:c r="L43" s="82" t="str">
        <x:f>IF(D43="","",IF(COUNTIF($D$5:$D$54,D43)&gt;1,"DUPLICATE","OK"))</x:f>
      </x:c>
      <x:c r="M43" s="82" t="b">
        <x:f>AND(B43&lt;&gt;"",C43&lt;&gt;"",LEN(D43)=56,LEN(F43)=64,H43&lt;&gt;"",I43&gt;=1,I43&lt;=5,J43&lt;&gt;"",K43="Yes",L43="OK")</x:f>
        <x:v>0</x:v>
      </x:c>
      <x:c r="N43" s="82" t="str">
        <x:f>IF(D43="","Pending",IF(L43="DUPLICATE","Review",IF(M43,"Verified","Incomplete")))</x:f>
        <x:v>Pending</x:v>
      </x:c>
    </x:row>
    <x:row r="44">
      <x:c r="A44" s="26" t="str">
        <x:v>P-040</x:v>
      </x:c>
      <x:c r="B44" s="82" t="str"/>
      <x:c r="C44" s="82" t="str"/>
      <x:c r="D44" s="82" t="str"/>
      <x:c r="E44" s="83"/>
      <x:c r="F44" s="82" t="str"/>
      <x:c r="G44" s="82" t="str">
        <x:f>IF(F44="","","https://stellar.expert/explorer/testnet/tx/"&amp;F44)</x:f>
      </x:c>
      <x:c r="H44" s="82" t="str"/>
      <x:c r="I44" s="84"/>
      <x:c r="J44" s="82" t="str"/>
      <x:c r="K44" s="82" t="str"/>
      <x:c r="L44" s="82" t="str">
        <x:f>IF(D44="","",IF(COUNTIF($D$5:$D$54,D44)&gt;1,"DUPLICATE","OK"))</x:f>
      </x:c>
      <x:c r="M44" s="82" t="b">
        <x:f>AND(B44&lt;&gt;"",C44&lt;&gt;"",LEN(D44)=56,LEN(F44)=64,H44&lt;&gt;"",I44&gt;=1,I44&lt;=5,J44&lt;&gt;"",K44="Yes",L44="OK")</x:f>
        <x:v>0</x:v>
      </x:c>
      <x:c r="N44" s="82" t="str">
        <x:f>IF(D44="","Pending",IF(L44="DUPLICATE","Review",IF(M44,"Verified","Incomplete")))</x:f>
        <x:v>Pending</x:v>
      </x:c>
    </x:row>
    <x:row r="45">
      <x:c r="A45" s="26" t="str">
        <x:v>P-041</x:v>
      </x:c>
      <x:c r="B45" s="82" t="str"/>
      <x:c r="C45" s="82" t="str"/>
      <x:c r="D45" s="82" t="str"/>
      <x:c r="E45" s="83"/>
      <x:c r="F45" s="82" t="str"/>
      <x:c r="G45" s="82" t="str">
        <x:f>IF(F45="","","https://stellar.expert/explorer/testnet/tx/"&amp;F45)</x:f>
      </x:c>
      <x:c r="H45" s="82" t="str"/>
      <x:c r="I45" s="84"/>
      <x:c r="J45" s="82" t="str"/>
      <x:c r="K45" s="82" t="str"/>
      <x:c r="L45" s="82" t="str">
        <x:f>IF(D45="","",IF(COUNTIF($D$5:$D$54,D45)&gt;1,"DUPLICATE","OK"))</x:f>
      </x:c>
      <x:c r="M45" s="82" t="b">
        <x:f>AND(B45&lt;&gt;"",C45&lt;&gt;"",LEN(D45)=56,LEN(F45)=64,H45&lt;&gt;"",I45&gt;=1,I45&lt;=5,J45&lt;&gt;"",K45="Yes",L45="OK")</x:f>
        <x:v>0</x:v>
      </x:c>
      <x:c r="N45" s="82" t="str">
        <x:f>IF(D45="","Pending",IF(L45="DUPLICATE","Review",IF(M45,"Verified","Incomplete")))</x:f>
        <x:v>Pending</x:v>
      </x:c>
    </x:row>
    <x:row r="46">
      <x:c r="A46" s="26" t="str">
        <x:v>P-042</x:v>
      </x:c>
      <x:c r="B46" s="82" t="str"/>
      <x:c r="C46" s="82" t="str"/>
      <x:c r="D46" s="82" t="str"/>
      <x:c r="E46" s="83"/>
      <x:c r="F46" s="82" t="str"/>
      <x:c r="G46" s="82" t="str">
        <x:f>IF(F46="","","https://stellar.expert/explorer/testnet/tx/"&amp;F46)</x:f>
      </x:c>
      <x:c r="H46" s="82" t="str"/>
      <x:c r="I46" s="84"/>
      <x:c r="J46" s="82" t="str"/>
      <x:c r="K46" s="82" t="str"/>
      <x:c r="L46" s="82" t="str">
        <x:f>IF(D46="","",IF(COUNTIF($D$5:$D$54,D46)&gt;1,"DUPLICATE","OK"))</x:f>
      </x:c>
      <x:c r="M46" s="82" t="b">
        <x:f>AND(B46&lt;&gt;"",C46&lt;&gt;"",LEN(D46)=56,LEN(F46)=64,H46&lt;&gt;"",I46&gt;=1,I46&lt;=5,J46&lt;&gt;"",K46="Yes",L46="OK")</x:f>
        <x:v>0</x:v>
      </x:c>
      <x:c r="N46" s="82" t="str">
        <x:f>IF(D46="","Pending",IF(L46="DUPLICATE","Review",IF(M46,"Verified","Incomplete")))</x:f>
        <x:v>Pending</x:v>
      </x:c>
    </x:row>
    <x:row r="47">
      <x:c r="A47" s="26" t="str">
        <x:v>P-043</x:v>
      </x:c>
      <x:c r="B47" s="82" t="str"/>
      <x:c r="C47" s="82" t="str"/>
      <x:c r="D47" s="82" t="str"/>
      <x:c r="E47" s="83"/>
      <x:c r="F47" s="82" t="str"/>
      <x:c r="G47" s="82" t="str">
        <x:f>IF(F47="","","https://stellar.expert/explorer/testnet/tx/"&amp;F47)</x:f>
      </x:c>
      <x:c r="H47" s="82" t="str"/>
      <x:c r="I47" s="84"/>
      <x:c r="J47" s="82" t="str"/>
      <x:c r="K47" s="82" t="str"/>
      <x:c r="L47" s="82" t="str">
        <x:f>IF(D47="","",IF(COUNTIF($D$5:$D$54,D47)&gt;1,"DUPLICATE","OK"))</x:f>
      </x:c>
      <x:c r="M47" s="82" t="b">
        <x:f>AND(B47&lt;&gt;"",C47&lt;&gt;"",LEN(D47)=56,LEN(F47)=64,H47&lt;&gt;"",I47&gt;=1,I47&lt;=5,J47&lt;&gt;"",K47="Yes",L47="OK")</x:f>
        <x:v>0</x:v>
      </x:c>
      <x:c r="N47" s="82" t="str">
        <x:f>IF(D47="","Pending",IF(L47="DUPLICATE","Review",IF(M47,"Verified","Incomplete")))</x:f>
        <x:v>Pending</x:v>
      </x:c>
    </x:row>
    <x:row r="48">
      <x:c r="A48" s="26" t="str">
        <x:v>P-044</x:v>
      </x:c>
      <x:c r="B48" s="82" t="str"/>
      <x:c r="C48" s="82" t="str"/>
      <x:c r="D48" s="82" t="str"/>
      <x:c r="E48" s="83"/>
      <x:c r="F48" s="82" t="str"/>
      <x:c r="G48" s="82" t="str">
        <x:f>IF(F48="","","https://stellar.expert/explorer/testnet/tx/"&amp;F48)</x:f>
      </x:c>
      <x:c r="H48" s="82" t="str"/>
      <x:c r="I48" s="84"/>
      <x:c r="J48" s="82" t="str"/>
      <x:c r="K48" s="82" t="str"/>
      <x:c r="L48" s="82" t="str">
        <x:f>IF(D48="","",IF(COUNTIF($D$5:$D$54,D48)&gt;1,"DUPLICATE","OK"))</x:f>
      </x:c>
      <x:c r="M48" s="82" t="b">
        <x:f>AND(B48&lt;&gt;"",C48&lt;&gt;"",LEN(D48)=56,LEN(F48)=64,H48&lt;&gt;"",I48&gt;=1,I48&lt;=5,J48&lt;&gt;"",K48="Yes",L48="OK")</x:f>
        <x:v>0</x:v>
      </x:c>
      <x:c r="N48" s="82" t="str">
        <x:f>IF(D48="","Pending",IF(L48="DUPLICATE","Review",IF(M48,"Verified","Incomplete")))</x:f>
        <x:v>Pending</x:v>
      </x:c>
    </x:row>
    <x:row r="49">
      <x:c r="A49" s="26" t="str">
        <x:v>P-045</x:v>
      </x:c>
      <x:c r="B49" s="82" t="str"/>
      <x:c r="C49" s="82" t="str"/>
      <x:c r="D49" s="82" t="str"/>
      <x:c r="E49" s="83"/>
      <x:c r="F49" s="82" t="str"/>
      <x:c r="G49" s="82" t="str">
        <x:f>IF(F49="","","https://stellar.expert/explorer/testnet/tx/"&amp;F49)</x:f>
      </x:c>
      <x:c r="H49" s="82" t="str"/>
      <x:c r="I49" s="84"/>
      <x:c r="J49" s="82" t="str"/>
      <x:c r="K49" s="82" t="str"/>
      <x:c r="L49" s="82" t="str">
        <x:f>IF(D49="","",IF(COUNTIF($D$5:$D$54,D49)&gt;1,"DUPLICATE","OK"))</x:f>
      </x:c>
      <x:c r="M49" s="82" t="b">
        <x:f>AND(B49&lt;&gt;"",C49&lt;&gt;"",LEN(D49)=56,LEN(F49)=64,H49&lt;&gt;"",I49&gt;=1,I49&lt;=5,J49&lt;&gt;"",K49="Yes",L49="OK")</x:f>
        <x:v>0</x:v>
      </x:c>
      <x:c r="N49" s="82" t="str">
        <x:f>IF(D49="","Pending",IF(L49="DUPLICATE","Review",IF(M49,"Verified","Incomplete")))</x:f>
        <x:v>Pending</x:v>
      </x:c>
    </x:row>
    <x:row r="50">
      <x:c r="A50" s="26" t="str">
        <x:v>P-046</x:v>
      </x:c>
      <x:c r="B50" s="82" t="str"/>
      <x:c r="C50" s="82" t="str"/>
      <x:c r="D50" s="82" t="str"/>
      <x:c r="E50" s="83"/>
      <x:c r="F50" s="82" t="str"/>
      <x:c r="G50" s="82" t="str">
        <x:f>IF(F50="","","https://stellar.expert/explorer/testnet/tx/"&amp;F50)</x:f>
      </x:c>
      <x:c r="H50" s="82" t="str"/>
      <x:c r="I50" s="84"/>
      <x:c r="J50" s="82" t="str"/>
      <x:c r="K50" s="82" t="str"/>
      <x:c r="L50" s="82" t="str">
        <x:f>IF(D50="","",IF(COUNTIF($D$5:$D$54,D50)&gt;1,"DUPLICATE","OK"))</x:f>
      </x:c>
      <x:c r="M50" s="82" t="b">
        <x:f>AND(B50&lt;&gt;"",C50&lt;&gt;"",LEN(D50)=56,LEN(F50)=64,H50&lt;&gt;"",I50&gt;=1,I50&lt;=5,J50&lt;&gt;"",K50="Yes",L50="OK")</x:f>
        <x:v>0</x:v>
      </x:c>
      <x:c r="N50" s="82" t="str">
        <x:f>IF(D50="","Pending",IF(L50="DUPLICATE","Review",IF(M50,"Verified","Incomplete")))</x:f>
        <x:v>Pending</x:v>
      </x:c>
    </x:row>
    <x:row r="51">
      <x:c r="A51" s="26" t="str">
        <x:v>P-047</x:v>
      </x:c>
      <x:c r="B51" s="82" t="str"/>
      <x:c r="C51" s="82" t="str"/>
      <x:c r="D51" s="82" t="str"/>
      <x:c r="E51" s="83"/>
      <x:c r="F51" s="82" t="str"/>
      <x:c r="G51" s="82" t="str">
        <x:f>IF(F51="","","https://stellar.expert/explorer/testnet/tx/"&amp;F51)</x:f>
      </x:c>
      <x:c r="H51" s="82" t="str"/>
      <x:c r="I51" s="84"/>
      <x:c r="J51" s="82" t="str"/>
      <x:c r="K51" s="82" t="str"/>
      <x:c r="L51" s="82" t="str">
        <x:f>IF(D51="","",IF(COUNTIF($D$5:$D$54,D51)&gt;1,"DUPLICATE","OK"))</x:f>
      </x:c>
      <x:c r="M51" s="82" t="b">
        <x:f>AND(B51&lt;&gt;"",C51&lt;&gt;"",LEN(D51)=56,LEN(F51)=64,H51&lt;&gt;"",I51&gt;=1,I51&lt;=5,J51&lt;&gt;"",K51="Yes",L51="OK")</x:f>
        <x:v>0</x:v>
      </x:c>
      <x:c r="N51" s="82" t="str">
        <x:f>IF(D51="","Pending",IF(L51="DUPLICATE","Review",IF(M51,"Verified","Incomplete")))</x:f>
        <x:v>Pending</x:v>
      </x:c>
    </x:row>
    <x:row r="52">
      <x:c r="A52" s="26" t="str">
        <x:v>P-048</x:v>
      </x:c>
      <x:c r="B52" s="82" t="str"/>
      <x:c r="C52" s="82" t="str"/>
      <x:c r="D52" s="82" t="str"/>
      <x:c r="E52" s="83"/>
      <x:c r="F52" s="82" t="str"/>
      <x:c r="G52" s="82" t="str">
        <x:f>IF(F52="","","https://stellar.expert/explorer/testnet/tx/"&amp;F52)</x:f>
      </x:c>
      <x:c r="H52" s="82" t="str"/>
      <x:c r="I52" s="84"/>
      <x:c r="J52" s="82" t="str"/>
      <x:c r="K52" s="82" t="str"/>
      <x:c r="L52" s="82" t="str">
        <x:f>IF(D52="","",IF(COUNTIF($D$5:$D$54,D52)&gt;1,"DUPLICATE","OK"))</x:f>
      </x:c>
      <x:c r="M52" s="82" t="b">
        <x:f>AND(B52&lt;&gt;"",C52&lt;&gt;"",LEN(D52)=56,LEN(F52)=64,H52&lt;&gt;"",I52&gt;=1,I52&lt;=5,J52&lt;&gt;"",K52="Yes",L52="OK")</x:f>
        <x:v>0</x:v>
      </x:c>
      <x:c r="N52" s="82" t="str">
        <x:f>IF(D52="","Pending",IF(L52="DUPLICATE","Review",IF(M52,"Verified","Incomplete")))</x:f>
        <x:v>Pending</x:v>
      </x:c>
    </x:row>
    <x:row r="53">
      <x:c r="A53" s="26" t="str">
        <x:v>P-049</x:v>
      </x:c>
      <x:c r="B53" s="82" t="str"/>
      <x:c r="C53" s="82" t="str"/>
      <x:c r="D53" s="82" t="str"/>
      <x:c r="E53" s="83"/>
      <x:c r="F53" s="82" t="str"/>
      <x:c r="G53" s="82" t="str">
        <x:f>IF(F53="","","https://stellar.expert/explorer/testnet/tx/"&amp;F53)</x:f>
      </x:c>
      <x:c r="H53" s="82" t="str"/>
      <x:c r="I53" s="84"/>
      <x:c r="J53" s="82" t="str"/>
      <x:c r="K53" s="82" t="str"/>
      <x:c r="L53" s="82" t="str">
        <x:f>IF(D53="","",IF(COUNTIF($D$5:$D$54,D53)&gt;1,"DUPLICATE","OK"))</x:f>
      </x:c>
      <x:c r="M53" s="82" t="b">
        <x:f>AND(B53&lt;&gt;"",C53&lt;&gt;"",LEN(D53)=56,LEN(F53)=64,H53&lt;&gt;"",I53&gt;=1,I53&lt;=5,J53&lt;&gt;"",K53="Yes",L53="OK")</x:f>
        <x:v>0</x:v>
      </x:c>
      <x:c r="N53" s="82" t="str">
        <x:f>IF(D53="","Pending",IF(L53="DUPLICATE","Review",IF(M53,"Verified","Incomplete")))</x:f>
        <x:v>Pending</x:v>
      </x:c>
    </x:row>
    <x:row r="54">
      <x:c r="A54" s="27" t="str">
        <x:v>P-050</x:v>
      </x:c>
      <x:c r="B54" s="85" t="str"/>
      <x:c r="C54" s="85" t="str"/>
      <x:c r="D54" s="85" t="str"/>
      <x:c r="E54" s="86"/>
      <x:c r="F54" s="85" t="str"/>
      <x:c r="G54" s="85" t="str">
        <x:f>IF(F54="","","https://stellar.expert/explorer/testnet/tx/"&amp;F54)</x:f>
      </x:c>
      <x:c r="H54" s="85" t="str"/>
      <x:c r="I54" s="87"/>
      <x:c r="J54" s="85" t="str"/>
      <x:c r="K54" s="85" t="str"/>
      <x:c r="L54" s="85" t="str">
        <x:f>IF(D54="","",IF(COUNTIF($D$5:$D$54,D54)&gt;1,"DUPLICATE","OK"))</x:f>
      </x:c>
      <x:c r="M54" s="85" t="b">
        <x:f>AND(B54&lt;&gt;"",C54&lt;&gt;"",LEN(D54)=56,LEN(F54)=64,H54&lt;&gt;"",I54&gt;=1,I54&lt;=5,J54&lt;&gt;"",K54="Yes",L54="OK")</x:f>
        <x:v>0</x:v>
      </x:c>
      <x:c r="N54" s="85" t="str">
        <x:f>IF(D54="","Pending",IF(L54="DUPLICATE","Review",IF(M54,"Verified","Incomplete")))</x:f>
        <x:v>Pending</x:v>
      </x:c>
    </x:row>
  </x:sheetData>
  <x:mergeCells>
    <x:mergeCell ref="A1:N1"/>
    <x:mergeCell ref="A2:N2"/>
  </x:mergeCells>
  <x:conditionalFormatting sqref="L5:N54">
    <x:cfRule type="containsText" dxfId="0" priority="1" operator="containsText" text="Verified"/>
    <x:cfRule type="containsText" dxfId="1" priority="2" operator="containsText" text="Pending"/>
    <x:cfRule type="containsText" dxfId="2" priority="3" operator="containsText" text="Incomplete"/>
    <x:cfRule type="containsText" dxfId="3" priority="4" operator="containsText" text="DUPLICATE"/>
  </x:conditionalFormatting>
  <x:dataValidations count="3">
    <x:dataValidation type="whole" operator="between" sqref="I5:I54">
      <x:formula1>1</x:formula1>
      <x:formula2>5</x:formula2>
    </x:dataValidation>
    <x:dataValidation type="list" sqref="K5:K54">
      <x:formula1>"Yes,No"</x:formula1>
    </x:dataValidation>
    <x:dataValidation type="list" sqref="H5:H54">
      <x:formula1>"Register agent,Create escrow,Submit delivery,Release payment,Refund,Dispute,Rate agent"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44" hidden="0" customWidth="1"/>
    <x:col min="5" max="5" width="14" hidden="0" customWidth="1"/>
    <x:col min="6" max="6" width="38" hidden="0" customWidth="1"/>
    <x:col min="7" max="7" width="44" hidden="0" customWidth="1"/>
    <x:col min="8" max="8" width="56" hidden="0" customWidth="1"/>
    <x:col min="9" max="9" width="20" hidden="0" customWidth="1"/>
    <x:col min="10" max="10" width="190" hidden="0" customWidth="1"/>
  </x:cols>
  <x:sheetData>
    <x:row r="1" ht="34" customHeight="1">
      <x:c r="A1" s="3" t="str">
        <x:v>Google Form Responses Import</x:v>
      </x:c>
      <x:c r="B1" s="3" t="str">
        <x:v>Google Form Responses Import</x:v>
      </x:c>
      <x:c r="C1" s="3" t="str">
        <x:v>Google Form Responses Import</x:v>
      </x:c>
      <x:c r="D1" s="3" t="str">
        <x:v>Google Form Responses Import</x:v>
      </x:c>
      <x:c r="E1" s="3" t="str">
        <x:v>Google Form Responses Import</x:v>
      </x:c>
      <x:c r="F1" s="3" t="str">
        <x:v>Google Form Responses Import</x:v>
      </x:c>
      <x:c r="G1" s="3" t="str">
        <x:v>Google Form Responses Import</x:v>
      </x:c>
      <x:c r="H1" s="3" t="str">
        <x:v>Google Form Responses Import</x:v>
      </x:c>
      <x:c r="I1" s="3" t="str">
        <x:v>Google Form Responses Import</x:v>
      </x:c>
      <x:c r="J1" t="str">
        <x:v>Google Form Responses Import</x:v>
      </x:c>
    </x:row>
    <x:row r="2" ht="25" customHeight="1">
      <x:c r="A2" s="5" t="str">
        <x:v>Paste or import the exported Google Form rows below. Do not add invented submissions.</x:v>
      </x:c>
      <x:c r="B2" s="5" t="str">
        <x:v>Paste or import the exported Google Form rows below. Do not add invented submissions.</x:v>
      </x:c>
      <x:c r="C2" s="5" t="str">
        <x:v>Paste or import the exported Google Form rows below. Do not add invented submissions.</x:v>
      </x:c>
      <x:c r="D2" s="5" t="str">
        <x:v>Paste or import the exported Google Form rows below. Do not add invented submissions.</x:v>
      </x:c>
      <x:c r="E2" s="5" t="str">
        <x:v>Paste or import the exported Google Form rows below. Do not add invented submissions.</x:v>
      </x:c>
      <x:c r="F2" s="5" t="str">
        <x:v>Paste or import the exported Google Form rows below. Do not add invented submissions.</x:v>
      </x:c>
      <x:c r="G2" s="5" t="str">
        <x:v>Paste or import the exported Google Form rows below. Do not add invented submissions.</x:v>
      </x:c>
      <x:c r="H2" s="5" t="str">
        <x:v>Paste or import the exported Google Form rows below. Do not add invented submissions.</x:v>
      </x:c>
      <x:c r="I2" s="5" t="str">
        <x:v>Paste or import the exported Google Form rows below. Do not add invented submissions.</x:v>
      </x:c>
      <x:c r="J2" t="str">
        <x:v>Paste or import the exported Google Form rows below. Do not add invented submissions.</x:v>
      </x:c>
    </x:row>
    <x:row r="4" ht="30" customHeight="1">
      <x:c r="A4" s="12" t="str">
        <x:v>Timestamp</x:v>
      </x:c>
      <x:c r="B4" s="72" t="str">
        <x:v>Name</x:v>
      </x:c>
      <x:c r="C4" s="72" t="str">
        <x:v>Email</x:v>
      </x:c>
      <x:c r="D4" s="72" t="str">
        <x:v>Wallet Address</x:v>
      </x:c>
      <x:c r="E4" s="72" t="str">
        <x:v>Rating (1–5)</x:v>
      </x:c>
      <x:c r="F4" s="72" t="str">
        <x:v>What worked well?</x:v>
      </x:c>
      <x:c r="G4" s="72" t="str">
        <x:v>What should improve?</x:v>
      </x:c>
      <x:c r="H4" s="72" t="str">
        <x:v>Testnet Transaction Hash</x:v>
      </x:c>
      <x:c r="I4" s="13" t="str">
        <x:v>Public Evidence Consent</x:v>
      </x:c>
      <x:c r="J4" s="106" t="str">
        <x:v>AgentRail Flow Completed</x:v>
      </x:c>
    </x:row>
    <x:row r="5">
      <x:c r="A5" s="80"/>
      <x:c r="B5" s="79"/>
      <x:c r="C5" s="79"/>
      <x:c r="D5" s="79"/>
      <x:c r="E5" s="79"/>
      <x:c r="F5" s="79"/>
      <x:c r="G5" s="79"/>
      <x:c r="H5" s="79"/>
      <x:c r="I5" s="79"/>
      <x:c r="J5" s="25"/>
    </x:row>
    <x:row r="6">
      <x:c r="A6" s="83"/>
      <x:c r="B6" s="82"/>
      <x:c r="C6" s="82"/>
      <x:c r="D6" s="82"/>
      <x:c r="E6" s="82"/>
      <x:c r="F6" s="82"/>
      <x:c r="G6" s="82"/>
      <x:c r="H6" s="82"/>
      <x:c r="I6" s="82"/>
      <x:c r="J6" s="26"/>
    </x:row>
    <x:row r="7">
      <x:c r="A7" s="83"/>
      <x:c r="B7" s="82"/>
      <x:c r="C7" s="82"/>
      <x:c r="D7" s="82"/>
      <x:c r="E7" s="82"/>
      <x:c r="F7" s="82"/>
      <x:c r="G7" s="82"/>
      <x:c r="H7" s="82"/>
      <x:c r="I7" s="82"/>
      <x:c r="J7" s="26"/>
    </x:row>
    <x:row r="8">
      <x:c r="A8" s="83"/>
      <x:c r="B8" s="82"/>
      <x:c r="C8" s="82"/>
      <x:c r="D8" s="82"/>
      <x:c r="E8" s="82"/>
      <x:c r="F8" s="82"/>
      <x:c r="G8" s="82"/>
      <x:c r="H8" s="82"/>
      <x:c r="I8" s="82"/>
      <x:c r="J8" s="26"/>
    </x:row>
    <x:row r="9">
      <x:c r="A9" s="83"/>
      <x:c r="B9" s="82"/>
      <x:c r="C9" s="82"/>
      <x:c r="D9" s="82"/>
      <x:c r="E9" s="82"/>
      <x:c r="F9" s="82"/>
      <x:c r="G9" s="82"/>
      <x:c r="H9" s="82"/>
      <x:c r="I9" s="82"/>
      <x:c r="J9" s="26"/>
    </x:row>
    <x:row r="10">
      <x:c r="A10" s="83"/>
      <x:c r="B10" s="82"/>
      <x:c r="C10" s="82"/>
      <x:c r="D10" s="82"/>
      <x:c r="E10" s="82"/>
      <x:c r="F10" s="82"/>
      <x:c r="G10" s="82"/>
      <x:c r="H10" s="82"/>
      <x:c r="I10" s="82"/>
      <x:c r="J10" s="26"/>
    </x:row>
    <x:row r="11">
      <x:c r="A11" s="83"/>
      <x:c r="B11" s="82"/>
      <x:c r="C11" s="82"/>
      <x:c r="D11" s="82"/>
      <x:c r="E11" s="82"/>
      <x:c r="F11" s="82"/>
      <x:c r="G11" s="82"/>
      <x:c r="H11" s="82"/>
      <x:c r="I11" s="82"/>
      <x:c r="J11" s="26"/>
    </x:row>
    <x:row r="12">
      <x:c r="A12" s="83"/>
      <x:c r="B12" s="82"/>
      <x:c r="C12" s="82"/>
      <x:c r="D12" s="82"/>
      <x:c r="E12" s="82"/>
      <x:c r="F12" s="82"/>
      <x:c r="G12" s="82"/>
      <x:c r="H12" s="82"/>
      <x:c r="I12" s="82"/>
      <x:c r="J12" s="26"/>
    </x:row>
    <x:row r="13">
      <x:c r="A13" s="83"/>
      <x:c r="B13" s="82"/>
      <x:c r="C13" s="82"/>
      <x:c r="D13" s="82"/>
      <x:c r="E13" s="82"/>
      <x:c r="F13" s="82"/>
      <x:c r="G13" s="82"/>
      <x:c r="H13" s="82"/>
      <x:c r="I13" s="82"/>
      <x:c r="J13" s="26"/>
    </x:row>
    <x:row r="14">
      <x:c r="A14" s="83"/>
      <x:c r="B14" s="82"/>
      <x:c r="C14" s="82"/>
      <x:c r="D14" s="82"/>
      <x:c r="E14" s="82"/>
      <x:c r="F14" s="82"/>
      <x:c r="G14" s="82"/>
      <x:c r="H14" s="82"/>
      <x:c r="I14" s="82"/>
      <x:c r="J14" s="26"/>
    </x:row>
    <x:row r="15">
      <x:c r="A15" s="83"/>
      <x:c r="B15" s="82"/>
      <x:c r="C15" s="82"/>
      <x:c r="D15" s="82"/>
      <x:c r="E15" s="82"/>
      <x:c r="F15" s="82"/>
      <x:c r="G15" s="82"/>
      <x:c r="H15" s="82"/>
      <x:c r="I15" s="82"/>
      <x:c r="J15" s="26"/>
    </x:row>
    <x:row r="16">
      <x:c r="A16" s="83"/>
      <x:c r="B16" s="82"/>
      <x:c r="C16" s="82"/>
      <x:c r="D16" s="82"/>
      <x:c r="E16" s="82"/>
      <x:c r="F16" s="82"/>
      <x:c r="G16" s="82"/>
      <x:c r="H16" s="82"/>
      <x:c r="I16" s="82"/>
      <x:c r="J16" s="26"/>
    </x:row>
    <x:row r="17">
      <x:c r="A17" s="83"/>
      <x:c r="B17" s="82"/>
      <x:c r="C17" s="82"/>
      <x:c r="D17" s="82"/>
      <x:c r="E17" s="82"/>
      <x:c r="F17" s="82"/>
      <x:c r="G17" s="82"/>
      <x:c r="H17" s="82"/>
      <x:c r="I17" s="82"/>
      <x:c r="J17" s="26"/>
    </x:row>
    <x:row r="18">
      <x:c r="A18" s="83"/>
      <x:c r="B18" s="82"/>
      <x:c r="C18" s="82"/>
      <x:c r="D18" s="82"/>
      <x:c r="E18" s="82"/>
      <x:c r="F18" s="82"/>
      <x:c r="G18" s="82"/>
      <x:c r="H18" s="82"/>
      <x:c r="I18" s="82"/>
      <x:c r="J18" s="26"/>
    </x:row>
    <x:row r="19">
      <x:c r="A19" s="83"/>
      <x:c r="B19" s="82"/>
      <x:c r="C19" s="82"/>
      <x:c r="D19" s="82"/>
      <x:c r="E19" s="82"/>
      <x:c r="F19" s="82"/>
      <x:c r="G19" s="82"/>
      <x:c r="H19" s="82"/>
      <x:c r="I19" s="82"/>
      <x:c r="J19" s="26"/>
    </x:row>
    <x:row r="20">
      <x:c r="A20" s="83"/>
      <x:c r="B20" s="82"/>
      <x:c r="C20" s="82"/>
      <x:c r="D20" s="82"/>
      <x:c r="E20" s="82"/>
      <x:c r="F20" s="82"/>
      <x:c r="G20" s="82"/>
      <x:c r="H20" s="82"/>
      <x:c r="I20" s="82"/>
      <x:c r="J20" s="26"/>
    </x:row>
    <x:row r="21">
      <x:c r="A21" s="83"/>
      <x:c r="B21" s="82"/>
      <x:c r="C21" s="82"/>
      <x:c r="D21" s="82"/>
      <x:c r="E21" s="82"/>
      <x:c r="F21" s="82"/>
      <x:c r="G21" s="82"/>
      <x:c r="H21" s="82"/>
      <x:c r="I21" s="82"/>
      <x:c r="J21" s="26"/>
    </x:row>
    <x:row r="22">
      <x:c r="A22" s="83"/>
      <x:c r="B22" s="82"/>
      <x:c r="C22" s="82"/>
      <x:c r="D22" s="82"/>
      <x:c r="E22" s="82"/>
      <x:c r="F22" s="82"/>
      <x:c r="G22" s="82"/>
      <x:c r="H22" s="82"/>
      <x:c r="I22" s="82"/>
      <x:c r="J22" s="26"/>
    </x:row>
    <x:row r="23">
      <x:c r="A23" s="83"/>
      <x:c r="B23" s="82"/>
      <x:c r="C23" s="82"/>
      <x:c r="D23" s="82"/>
      <x:c r="E23" s="82"/>
      <x:c r="F23" s="82"/>
      <x:c r="G23" s="82"/>
      <x:c r="H23" s="82"/>
      <x:c r="I23" s="82"/>
      <x:c r="J23" s="26"/>
    </x:row>
    <x:row r="24">
      <x:c r="A24" s="83"/>
      <x:c r="B24" s="82"/>
      <x:c r="C24" s="82"/>
      <x:c r="D24" s="82"/>
      <x:c r="E24" s="82"/>
      <x:c r="F24" s="82"/>
      <x:c r="G24" s="82"/>
      <x:c r="H24" s="82"/>
      <x:c r="I24" s="82"/>
      <x:c r="J24" s="26"/>
    </x:row>
    <x:row r="25">
      <x:c r="A25" s="83"/>
      <x:c r="B25" s="82"/>
      <x:c r="C25" s="82"/>
      <x:c r="D25" s="82"/>
      <x:c r="E25" s="82"/>
      <x:c r="F25" s="82"/>
      <x:c r="G25" s="82"/>
      <x:c r="H25" s="82"/>
      <x:c r="I25" s="82"/>
      <x:c r="J25" s="26"/>
    </x:row>
    <x:row r="26">
      <x:c r="A26" s="83"/>
      <x:c r="B26" s="82"/>
      <x:c r="C26" s="82"/>
      <x:c r="D26" s="82"/>
      <x:c r="E26" s="82"/>
      <x:c r="F26" s="82"/>
      <x:c r="G26" s="82"/>
      <x:c r="H26" s="82"/>
      <x:c r="I26" s="82"/>
      <x:c r="J26" s="26"/>
    </x:row>
    <x:row r="27">
      <x:c r="A27" s="83"/>
      <x:c r="B27" s="82"/>
      <x:c r="C27" s="82"/>
      <x:c r="D27" s="82"/>
      <x:c r="E27" s="82"/>
      <x:c r="F27" s="82"/>
      <x:c r="G27" s="82"/>
      <x:c r="H27" s="82"/>
      <x:c r="I27" s="82"/>
      <x:c r="J27" s="26"/>
    </x:row>
    <x:row r="28">
      <x:c r="A28" s="83"/>
      <x:c r="B28" s="82"/>
      <x:c r="C28" s="82"/>
      <x:c r="D28" s="82"/>
      <x:c r="E28" s="82"/>
      <x:c r="F28" s="82"/>
      <x:c r="G28" s="82"/>
      <x:c r="H28" s="82"/>
      <x:c r="I28" s="82"/>
      <x:c r="J28" s="26"/>
    </x:row>
    <x:row r="29">
      <x:c r="A29" s="83"/>
      <x:c r="B29" s="82"/>
      <x:c r="C29" s="82"/>
      <x:c r="D29" s="82"/>
      <x:c r="E29" s="82"/>
      <x:c r="F29" s="82"/>
      <x:c r="G29" s="82"/>
      <x:c r="H29" s="82"/>
      <x:c r="I29" s="82"/>
      <x:c r="J29" s="26"/>
    </x:row>
    <x:row r="30">
      <x:c r="A30" s="83"/>
      <x:c r="B30" s="82"/>
      <x:c r="C30" s="82"/>
      <x:c r="D30" s="82"/>
      <x:c r="E30" s="82"/>
      <x:c r="F30" s="82"/>
      <x:c r="G30" s="82"/>
      <x:c r="H30" s="82"/>
      <x:c r="I30" s="82"/>
      <x:c r="J30" s="26"/>
    </x:row>
    <x:row r="31">
      <x:c r="A31" s="83"/>
      <x:c r="B31" s="82"/>
      <x:c r="C31" s="82"/>
      <x:c r="D31" s="82"/>
      <x:c r="E31" s="82"/>
      <x:c r="F31" s="82"/>
      <x:c r="G31" s="82"/>
      <x:c r="H31" s="82"/>
      <x:c r="I31" s="82"/>
      <x:c r="J31" s="26"/>
    </x:row>
    <x:row r="32">
      <x:c r="A32" s="83"/>
      <x:c r="B32" s="82"/>
      <x:c r="C32" s="82"/>
      <x:c r="D32" s="82"/>
      <x:c r="E32" s="82"/>
      <x:c r="F32" s="82"/>
      <x:c r="G32" s="82"/>
      <x:c r="H32" s="82"/>
      <x:c r="I32" s="82"/>
      <x:c r="J32" s="26"/>
    </x:row>
    <x:row r="33">
      <x:c r="A33" s="83"/>
      <x:c r="B33" s="82"/>
      <x:c r="C33" s="82"/>
      <x:c r="D33" s="82"/>
      <x:c r="E33" s="82"/>
      <x:c r="F33" s="82"/>
      <x:c r="G33" s="82"/>
      <x:c r="H33" s="82"/>
      <x:c r="I33" s="82"/>
      <x:c r="J33" s="26"/>
    </x:row>
    <x:row r="34">
      <x:c r="A34" s="83"/>
      <x:c r="B34" s="82"/>
      <x:c r="C34" s="82"/>
      <x:c r="D34" s="82"/>
      <x:c r="E34" s="82"/>
      <x:c r="F34" s="82"/>
      <x:c r="G34" s="82"/>
      <x:c r="H34" s="82"/>
      <x:c r="I34" s="82"/>
      <x:c r="J34" s="26"/>
    </x:row>
    <x:row r="35">
      <x:c r="A35" s="83"/>
      <x:c r="B35" s="82"/>
      <x:c r="C35" s="82"/>
      <x:c r="D35" s="82"/>
      <x:c r="E35" s="82"/>
      <x:c r="F35" s="82"/>
      <x:c r="G35" s="82"/>
      <x:c r="H35" s="82"/>
      <x:c r="I35" s="82"/>
      <x:c r="J35" s="26"/>
    </x:row>
    <x:row r="36">
      <x:c r="A36" s="83"/>
      <x:c r="B36" s="82"/>
      <x:c r="C36" s="82"/>
      <x:c r="D36" s="82"/>
      <x:c r="E36" s="82"/>
      <x:c r="F36" s="82"/>
      <x:c r="G36" s="82"/>
      <x:c r="H36" s="82"/>
      <x:c r="I36" s="82"/>
      <x:c r="J36" s="26"/>
    </x:row>
    <x:row r="37">
      <x:c r="A37" s="83"/>
      <x:c r="B37" s="82"/>
      <x:c r="C37" s="82"/>
      <x:c r="D37" s="82"/>
      <x:c r="E37" s="82"/>
      <x:c r="F37" s="82"/>
      <x:c r="G37" s="82"/>
      <x:c r="H37" s="82"/>
      <x:c r="I37" s="82"/>
      <x:c r="J37" s="26"/>
    </x:row>
    <x:row r="38">
      <x:c r="A38" s="83"/>
      <x:c r="B38" s="82"/>
      <x:c r="C38" s="82"/>
      <x:c r="D38" s="82"/>
      <x:c r="E38" s="82"/>
      <x:c r="F38" s="82"/>
      <x:c r="G38" s="82"/>
      <x:c r="H38" s="82"/>
      <x:c r="I38" s="82"/>
      <x:c r="J38" s="26"/>
    </x:row>
    <x:row r="39">
      <x:c r="A39" s="83"/>
      <x:c r="B39" s="82"/>
      <x:c r="C39" s="82"/>
      <x:c r="D39" s="82"/>
      <x:c r="E39" s="82"/>
      <x:c r="F39" s="82"/>
      <x:c r="G39" s="82"/>
      <x:c r="H39" s="82"/>
      <x:c r="I39" s="82"/>
      <x:c r="J39" s="26"/>
    </x:row>
    <x:row r="40">
      <x:c r="A40" s="83"/>
      <x:c r="B40" s="82"/>
      <x:c r="C40" s="82"/>
      <x:c r="D40" s="82"/>
      <x:c r="E40" s="82"/>
      <x:c r="F40" s="82"/>
      <x:c r="G40" s="82"/>
      <x:c r="H40" s="82"/>
      <x:c r="I40" s="82"/>
      <x:c r="J40" s="26"/>
    </x:row>
    <x:row r="41">
      <x:c r="A41" s="83"/>
      <x:c r="B41" s="82"/>
      <x:c r="C41" s="82"/>
      <x:c r="D41" s="82"/>
      <x:c r="E41" s="82"/>
      <x:c r="F41" s="82"/>
      <x:c r="G41" s="82"/>
      <x:c r="H41" s="82"/>
      <x:c r="I41" s="82"/>
      <x:c r="J41" s="26"/>
    </x:row>
    <x:row r="42">
      <x:c r="A42" s="83"/>
      <x:c r="B42" s="82"/>
      <x:c r="C42" s="82"/>
      <x:c r="D42" s="82"/>
      <x:c r="E42" s="82"/>
      <x:c r="F42" s="82"/>
      <x:c r="G42" s="82"/>
      <x:c r="H42" s="82"/>
      <x:c r="I42" s="82"/>
      <x:c r="J42" s="26"/>
    </x:row>
    <x:row r="43">
      <x:c r="A43" s="83"/>
      <x:c r="B43" s="82"/>
      <x:c r="C43" s="82"/>
      <x:c r="D43" s="82"/>
      <x:c r="E43" s="82"/>
      <x:c r="F43" s="82"/>
      <x:c r="G43" s="82"/>
      <x:c r="H43" s="82"/>
      <x:c r="I43" s="82"/>
      <x:c r="J43" s="26"/>
    </x:row>
    <x:row r="44">
      <x:c r="A44" s="83"/>
      <x:c r="B44" s="82"/>
      <x:c r="C44" s="82"/>
      <x:c r="D44" s="82"/>
      <x:c r="E44" s="82"/>
      <x:c r="F44" s="82"/>
      <x:c r="G44" s="82"/>
      <x:c r="H44" s="82"/>
      <x:c r="I44" s="82"/>
      <x:c r="J44" s="26"/>
    </x:row>
    <x:row r="45">
      <x:c r="A45" s="83"/>
      <x:c r="B45" s="82"/>
      <x:c r="C45" s="82"/>
      <x:c r="D45" s="82"/>
      <x:c r="E45" s="82"/>
      <x:c r="F45" s="82"/>
      <x:c r="G45" s="82"/>
      <x:c r="H45" s="82"/>
      <x:c r="I45" s="82"/>
      <x:c r="J45" s="26"/>
    </x:row>
    <x:row r="46">
      <x:c r="A46" s="83"/>
      <x:c r="B46" s="82"/>
      <x:c r="C46" s="82"/>
      <x:c r="D46" s="82"/>
      <x:c r="E46" s="82"/>
      <x:c r="F46" s="82"/>
      <x:c r="G46" s="82"/>
      <x:c r="H46" s="82"/>
      <x:c r="I46" s="82"/>
      <x:c r="J46" s="26"/>
    </x:row>
    <x:row r="47">
      <x:c r="A47" s="83"/>
      <x:c r="B47" s="82"/>
      <x:c r="C47" s="82"/>
      <x:c r="D47" s="82"/>
      <x:c r="E47" s="82"/>
      <x:c r="F47" s="82"/>
      <x:c r="G47" s="82"/>
      <x:c r="H47" s="82"/>
      <x:c r="I47" s="82"/>
      <x:c r="J47" s="26"/>
    </x:row>
    <x:row r="48">
      <x:c r="A48" s="83"/>
      <x:c r="B48" s="82"/>
      <x:c r="C48" s="82"/>
      <x:c r="D48" s="82"/>
      <x:c r="E48" s="82"/>
      <x:c r="F48" s="82"/>
      <x:c r="G48" s="82"/>
      <x:c r="H48" s="82"/>
      <x:c r="I48" s="82"/>
      <x:c r="J48" s="26"/>
    </x:row>
    <x:row r="49">
      <x:c r="A49" s="83"/>
      <x:c r="B49" s="82"/>
      <x:c r="C49" s="82"/>
      <x:c r="D49" s="82"/>
      <x:c r="E49" s="82"/>
      <x:c r="F49" s="82"/>
      <x:c r="G49" s="82"/>
      <x:c r="H49" s="82"/>
      <x:c r="I49" s="82"/>
      <x:c r="J49" s="26"/>
    </x:row>
    <x:row r="50">
      <x:c r="A50" s="83"/>
      <x:c r="B50" s="82"/>
      <x:c r="C50" s="82"/>
      <x:c r="D50" s="82"/>
      <x:c r="E50" s="82"/>
      <x:c r="F50" s="82"/>
      <x:c r="G50" s="82"/>
      <x:c r="H50" s="82"/>
      <x:c r="I50" s="82"/>
      <x:c r="J50" s="26"/>
    </x:row>
    <x:row r="51">
      <x:c r="A51" s="83"/>
      <x:c r="B51" s="82"/>
      <x:c r="C51" s="82"/>
      <x:c r="D51" s="82"/>
      <x:c r="E51" s="82"/>
      <x:c r="F51" s="82"/>
      <x:c r="G51" s="82"/>
      <x:c r="H51" s="82"/>
      <x:c r="I51" s="82"/>
      <x:c r="J51" s="26"/>
    </x:row>
    <x:row r="52">
      <x:c r="A52" s="83"/>
      <x:c r="B52" s="82"/>
      <x:c r="C52" s="82"/>
      <x:c r="D52" s="82"/>
      <x:c r="E52" s="82"/>
      <x:c r="F52" s="82"/>
      <x:c r="G52" s="82"/>
      <x:c r="H52" s="82"/>
      <x:c r="I52" s="82"/>
      <x:c r="J52" s="26"/>
    </x:row>
    <x:row r="53">
      <x:c r="A53" s="83"/>
      <x:c r="B53" s="82"/>
      <x:c r="C53" s="82"/>
      <x:c r="D53" s="82"/>
      <x:c r="E53" s="82"/>
      <x:c r="F53" s="82"/>
      <x:c r="G53" s="82"/>
      <x:c r="H53" s="82"/>
      <x:c r="I53" s="82"/>
      <x:c r="J53" s="26"/>
    </x:row>
    <x:row r="54">
      <x:c r="A54" s="83"/>
      <x:c r="B54" s="82"/>
      <x:c r="C54" s="82"/>
      <x:c r="D54" s="82"/>
      <x:c r="E54" s="82"/>
      <x:c r="F54" s="82"/>
      <x:c r="G54" s="82"/>
      <x:c r="H54" s="82"/>
      <x:c r="I54" s="82"/>
      <x:c r="J54" s="26"/>
    </x:row>
    <x:row r="55">
      <x:c r="A55" s="83"/>
      <x:c r="B55" s="82"/>
      <x:c r="C55" s="82"/>
      <x:c r="D55" s="82"/>
      <x:c r="E55" s="82"/>
      <x:c r="F55" s="82"/>
      <x:c r="G55" s="82"/>
      <x:c r="H55" s="82"/>
      <x:c r="I55" s="82"/>
      <x:c r="J55" s="26"/>
    </x:row>
    <x:row r="56">
      <x:c r="A56" s="83"/>
      <x:c r="B56" s="82"/>
      <x:c r="C56" s="82"/>
      <x:c r="D56" s="82"/>
      <x:c r="E56" s="82"/>
      <x:c r="F56" s="82"/>
      <x:c r="G56" s="82"/>
      <x:c r="H56" s="82"/>
      <x:c r="I56" s="82"/>
      <x:c r="J56" s="26"/>
    </x:row>
    <x:row r="57">
      <x:c r="A57" s="83"/>
      <x:c r="B57" s="82"/>
      <x:c r="C57" s="82"/>
      <x:c r="D57" s="82"/>
      <x:c r="E57" s="82"/>
      <x:c r="F57" s="82"/>
      <x:c r="G57" s="82"/>
      <x:c r="H57" s="82"/>
      <x:c r="I57" s="82"/>
      <x:c r="J57" s="26"/>
    </x:row>
    <x:row r="58">
      <x:c r="A58" s="83"/>
      <x:c r="B58" s="82"/>
      <x:c r="C58" s="82"/>
      <x:c r="D58" s="82"/>
      <x:c r="E58" s="82"/>
      <x:c r="F58" s="82"/>
      <x:c r="G58" s="82"/>
      <x:c r="H58" s="82"/>
      <x:c r="I58" s="82"/>
      <x:c r="J58" s="26"/>
    </x:row>
    <x:row r="59">
      <x:c r="A59" s="83"/>
      <x:c r="B59" s="82"/>
      <x:c r="C59" s="82"/>
      <x:c r="D59" s="82"/>
      <x:c r="E59" s="82"/>
      <x:c r="F59" s="82"/>
      <x:c r="G59" s="82"/>
      <x:c r="H59" s="82"/>
      <x:c r="I59" s="82"/>
      <x:c r="J59" s="26"/>
    </x:row>
    <x:row r="60">
      <x:c r="A60" s="83"/>
      <x:c r="B60" s="82"/>
      <x:c r="C60" s="82"/>
      <x:c r="D60" s="82"/>
      <x:c r="E60" s="82"/>
      <x:c r="F60" s="82"/>
      <x:c r="G60" s="82"/>
      <x:c r="H60" s="82"/>
      <x:c r="I60" s="82"/>
      <x:c r="J60" s="26"/>
    </x:row>
    <x:row r="61">
      <x:c r="A61" s="83"/>
      <x:c r="B61" s="82"/>
      <x:c r="C61" s="82"/>
      <x:c r="D61" s="82"/>
      <x:c r="E61" s="82"/>
      <x:c r="F61" s="82"/>
      <x:c r="G61" s="82"/>
      <x:c r="H61" s="82"/>
      <x:c r="I61" s="82"/>
      <x:c r="J61" s="26"/>
    </x:row>
    <x:row r="62">
      <x:c r="A62" s="83"/>
      <x:c r="B62" s="82"/>
      <x:c r="C62" s="82"/>
      <x:c r="D62" s="82"/>
      <x:c r="E62" s="82"/>
      <x:c r="F62" s="82"/>
      <x:c r="G62" s="82"/>
      <x:c r="H62" s="82"/>
      <x:c r="I62" s="82"/>
      <x:c r="J62" s="26"/>
    </x:row>
    <x:row r="63">
      <x:c r="A63" s="83"/>
      <x:c r="B63" s="82"/>
      <x:c r="C63" s="82"/>
      <x:c r="D63" s="82"/>
      <x:c r="E63" s="82"/>
      <x:c r="F63" s="82"/>
      <x:c r="G63" s="82"/>
      <x:c r="H63" s="82"/>
      <x:c r="I63" s="82"/>
      <x:c r="J63" s="26"/>
    </x:row>
    <x:row r="64">
      <x:c r="A64" s="83"/>
      <x:c r="B64" s="82"/>
      <x:c r="C64" s="82"/>
      <x:c r="D64" s="82"/>
      <x:c r="E64" s="82"/>
      <x:c r="F64" s="82"/>
      <x:c r="G64" s="82"/>
      <x:c r="H64" s="82"/>
      <x:c r="I64" s="82"/>
      <x:c r="J64" s="26"/>
    </x:row>
    <x:row r="65">
      <x:c r="A65" s="83"/>
      <x:c r="B65" s="82"/>
      <x:c r="C65" s="82"/>
      <x:c r="D65" s="82"/>
      <x:c r="E65" s="82"/>
      <x:c r="F65" s="82"/>
      <x:c r="G65" s="82"/>
      <x:c r="H65" s="82"/>
      <x:c r="I65" s="82"/>
      <x:c r="J65" s="26"/>
    </x:row>
    <x:row r="66">
      <x:c r="A66" s="83"/>
      <x:c r="B66" s="82"/>
      <x:c r="C66" s="82"/>
      <x:c r="D66" s="82"/>
      <x:c r="E66" s="82"/>
      <x:c r="F66" s="82"/>
      <x:c r="G66" s="82"/>
      <x:c r="H66" s="82"/>
      <x:c r="I66" s="82"/>
      <x:c r="J66" s="26"/>
    </x:row>
    <x:row r="67">
      <x:c r="A67" s="83"/>
      <x:c r="B67" s="82"/>
      <x:c r="C67" s="82"/>
      <x:c r="D67" s="82"/>
      <x:c r="E67" s="82"/>
      <x:c r="F67" s="82"/>
      <x:c r="G67" s="82"/>
      <x:c r="H67" s="82"/>
      <x:c r="I67" s="82"/>
      <x:c r="J67" s="26"/>
    </x:row>
    <x:row r="68">
      <x:c r="A68" s="83"/>
      <x:c r="B68" s="82"/>
      <x:c r="C68" s="82"/>
      <x:c r="D68" s="82"/>
      <x:c r="E68" s="82"/>
      <x:c r="F68" s="82"/>
      <x:c r="G68" s="82"/>
      <x:c r="H68" s="82"/>
      <x:c r="I68" s="82"/>
      <x:c r="J68" s="26"/>
    </x:row>
    <x:row r="69">
      <x:c r="A69" s="83"/>
      <x:c r="B69" s="82"/>
      <x:c r="C69" s="82"/>
      <x:c r="D69" s="82"/>
      <x:c r="E69" s="82"/>
      <x:c r="F69" s="82"/>
      <x:c r="G69" s="82"/>
      <x:c r="H69" s="82"/>
      <x:c r="I69" s="82"/>
      <x:c r="J69" s="26"/>
    </x:row>
    <x:row r="70">
      <x:c r="A70" s="83"/>
      <x:c r="B70" s="82"/>
      <x:c r="C70" s="82"/>
      <x:c r="D70" s="82"/>
      <x:c r="E70" s="82"/>
      <x:c r="F70" s="82"/>
      <x:c r="G70" s="82"/>
      <x:c r="H70" s="82"/>
      <x:c r="I70" s="82"/>
      <x:c r="J70" s="26"/>
    </x:row>
    <x:row r="71">
      <x:c r="A71" s="83"/>
      <x:c r="B71" s="82"/>
      <x:c r="C71" s="82"/>
      <x:c r="D71" s="82"/>
      <x:c r="E71" s="82"/>
      <x:c r="F71" s="82"/>
      <x:c r="G71" s="82"/>
      <x:c r="H71" s="82"/>
      <x:c r="I71" s="82"/>
      <x:c r="J71" s="26"/>
    </x:row>
    <x:row r="72">
      <x:c r="A72" s="83"/>
      <x:c r="B72" s="82"/>
      <x:c r="C72" s="82"/>
      <x:c r="D72" s="82"/>
      <x:c r="E72" s="82"/>
      <x:c r="F72" s="82"/>
      <x:c r="G72" s="82"/>
      <x:c r="H72" s="82"/>
      <x:c r="I72" s="82"/>
      <x:c r="J72" s="26"/>
    </x:row>
    <x:row r="73">
      <x:c r="A73" s="83"/>
      <x:c r="B73" s="82"/>
      <x:c r="C73" s="82"/>
      <x:c r="D73" s="82"/>
      <x:c r="E73" s="82"/>
      <x:c r="F73" s="82"/>
      <x:c r="G73" s="82"/>
      <x:c r="H73" s="82"/>
      <x:c r="I73" s="82"/>
      <x:c r="J73" s="26"/>
    </x:row>
    <x:row r="74">
      <x:c r="A74" s="83"/>
      <x:c r="B74" s="82"/>
      <x:c r="C74" s="82"/>
      <x:c r="D74" s="82"/>
      <x:c r="E74" s="82"/>
      <x:c r="F74" s="82"/>
      <x:c r="G74" s="82"/>
      <x:c r="H74" s="82"/>
      <x:c r="I74" s="82"/>
      <x:c r="J74" s="26"/>
    </x:row>
    <x:row r="75">
      <x:c r="A75" s="83"/>
      <x:c r="B75" s="82"/>
      <x:c r="C75" s="82"/>
      <x:c r="D75" s="82"/>
      <x:c r="E75" s="82"/>
      <x:c r="F75" s="82"/>
      <x:c r="G75" s="82"/>
      <x:c r="H75" s="82"/>
      <x:c r="I75" s="82"/>
      <x:c r="J75" s="26"/>
    </x:row>
    <x:row r="76">
      <x:c r="A76" s="83"/>
      <x:c r="B76" s="82"/>
      <x:c r="C76" s="82"/>
      <x:c r="D76" s="82"/>
      <x:c r="E76" s="82"/>
      <x:c r="F76" s="82"/>
      <x:c r="G76" s="82"/>
      <x:c r="H76" s="82"/>
      <x:c r="I76" s="82"/>
      <x:c r="J76" s="26"/>
    </x:row>
    <x:row r="77">
      <x:c r="A77" s="83"/>
      <x:c r="B77" s="82"/>
      <x:c r="C77" s="82"/>
      <x:c r="D77" s="82"/>
      <x:c r="E77" s="82"/>
      <x:c r="F77" s="82"/>
      <x:c r="G77" s="82"/>
      <x:c r="H77" s="82"/>
      <x:c r="I77" s="82"/>
      <x:c r="J77" s="26"/>
    </x:row>
    <x:row r="78">
      <x:c r="A78" s="83"/>
      <x:c r="B78" s="82"/>
      <x:c r="C78" s="82"/>
      <x:c r="D78" s="82"/>
      <x:c r="E78" s="82"/>
      <x:c r="F78" s="82"/>
      <x:c r="G78" s="82"/>
      <x:c r="H78" s="82"/>
      <x:c r="I78" s="82"/>
      <x:c r="J78" s="26"/>
    </x:row>
    <x:row r="79">
      <x:c r="A79" s="83"/>
      <x:c r="B79" s="82"/>
      <x:c r="C79" s="82"/>
      <x:c r="D79" s="82"/>
      <x:c r="E79" s="82"/>
      <x:c r="F79" s="82"/>
      <x:c r="G79" s="82"/>
      <x:c r="H79" s="82"/>
      <x:c r="I79" s="82"/>
      <x:c r="J79" s="26"/>
    </x:row>
    <x:row r="80">
      <x:c r="A80" s="83"/>
      <x:c r="B80" s="82"/>
      <x:c r="C80" s="82"/>
      <x:c r="D80" s="82"/>
      <x:c r="E80" s="82"/>
      <x:c r="F80" s="82"/>
      <x:c r="G80" s="82"/>
      <x:c r="H80" s="82"/>
      <x:c r="I80" s="82"/>
      <x:c r="J80" s="26"/>
    </x:row>
    <x:row r="81">
      <x:c r="A81" s="83"/>
      <x:c r="B81" s="82"/>
      <x:c r="C81" s="82"/>
      <x:c r="D81" s="82"/>
      <x:c r="E81" s="82"/>
      <x:c r="F81" s="82"/>
      <x:c r="G81" s="82"/>
      <x:c r="H81" s="82"/>
      <x:c r="I81" s="82"/>
      <x:c r="J81" s="26"/>
    </x:row>
    <x:row r="82">
      <x:c r="A82" s="83"/>
      <x:c r="B82" s="82"/>
      <x:c r="C82" s="82"/>
      <x:c r="D82" s="82"/>
      <x:c r="E82" s="82"/>
      <x:c r="F82" s="82"/>
      <x:c r="G82" s="82"/>
      <x:c r="H82" s="82"/>
      <x:c r="I82" s="82"/>
      <x:c r="J82" s="26"/>
    </x:row>
    <x:row r="83">
      <x:c r="A83" s="83"/>
      <x:c r="B83" s="82"/>
      <x:c r="C83" s="82"/>
      <x:c r="D83" s="82"/>
      <x:c r="E83" s="82"/>
      <x:c r="F83" s="82"/>
      <x:c r="G83" s="82"/>
      <x:c r="H83" s="82"/>
      <x:c r="I83" s="82"/>
      <x:c r="J83" s="26"/>
    </x:row>
    <x:row r="84">
      <x:c r="A84" s="83"/>
      <x:c r="B84" s="82"/>
      <x:c r="C84" s="82"/>
      <x:c r="D84" s="82"/>
      <x:c r="E84" s="82"/>
      <x:c r="F84" s="82"/>
      <x:c r="G84" s="82"/>
      <x:c r="H84" s="82"/>
      <x:c r="I84" s="82"/>
      <x:c r="J84" s="26"/>
    </x:row>
    <x:row r="85">
      <x:c r="A85" s="83"/>
      <x:c r="B85" s="82"/>
      <x:c r="C85" s="82"/>
      <x:c r="D85" s="82"/>
      <x:c r="E85" s="82"/>
      <x:c r="F85" s="82"/>
      <x:c r="G85" s="82"/>
      <x:c r="H85" s="82"/>
      <x:c r="I85" s="82"/>
      <x:c r="J85" s="26"/>
    </x:row>
    <x:row r="86">
      <x:c r="A86" s="83"/>
      <x:c r="B86" s="82"/>
      <x:c r="C86" s="82"/>
      <x:c r="D86" s="82"/>
      <x:c r="E86" s="82"/>
      <x:c r="F86" s="82"/>
      <x:c r="G86" s="82"/>
      <x:c r="H86" s="82"/>
      <x:c r="I86" s="82"/>
      <x:c r="J86" s="26"/>
    </x:row>
    <x:row r="87">
      <x:c r="A87" s="83"/>
      <x:c r="B87" s="82"/>
      <x:c r="C87" s="82"/>
      <x:c r="D87" s="82"/>
      <x:c r="E87" s="82"/>
      <x:c r="F87" s="82"/>
      <x:c r="G87" s="82"/>
      <x:c r="H87" s="82"/>
      <x:c r="I87" s="82"/>
      <x:c r="J87" s="26"/>
    </x:row>
    <x:row r="88">
      <x:c r="A88" s="83"/>
      <x:c r="B88" s="82"/>
      <x:c r="C88" s="82"/>
      <x:c r="D88" s="82"/>
      <x:c r="E88" s="82"/>
      <x:c r="F88" s="82"/>
      <x:c r="G88" s="82"/>
      <x:c r="H88" s="82"/>
      <x:c r="I88" s="82"/>
      <x:c r="J88" s="26"/>
    </x:row>
    <x:row r="89">
      <x:c r="A89" s="83"/>
      <x:c r="B89" s="82"/>
      <x:c r="C89" s="82"/>
      <x:c r="D89" s="82"/>
      <x:c r="E89" s="82"/>
      <x:c r="F89" s="82"/>
      <x:c r="G89" s="82"/>
      <x:c r="H89" s="82"/>
      <x:c r="I89" s="82"/>
      <x:c r="J89" s="26"/>
    </x:row>
    <x:row r="90">
      <x:c r="A90" s="83"/>
      <x:c r="B90" s="82"/>
      <x:c r="C90" s="82"/>
      <x:c r="D90" s="82"/>
      <x:c r="E90" s="82"/>
      <x:c r="F90" s="82"/>
      <x:c r="G90" s="82"/>
      <x:c r="H90" s="82"/>
      <x:c r="I90" s="82"/>
      <x:c r="J90" s="26"/>
    </x:row>
    <x:row r="91">
      <x:c r="A91" s="83"/>
      <x:c r="B91" s="82"/>
      <x:c r="C91" s="82"/>
      <x:c r="D91" s="82"/>
      <x:c r="E91" s="82"/>
      <x:c r="F91" s="82"/>
      <x:c r="G91" s="82"/>
      <x:c r="H91" s="82"/>
      <x:c r="I91" s="82"/>
      <x:c r="J91" s="26"/>
    </x:row>
    <x:row r="92">
      <x:c r="A92" s="83"/>
      <x:c r="B92" s="82"/>
      <x:c r="C92" s="82"/>
      <x:c r="D92" s="82"/>
      <x:c r="E92" s="82"/>
      <x:c r="F92" s="82"/>
      <x:c r="G92" s="82"/>
      <x:c r="H92" s="82"/>
      <x:c r="I92" s="82"/>
      <x:c r="J92" s="26"/>
    </x:row>
    <x:row r="93">
      <x:c r="A93" s="83"/>
      <x:c r="B93" s="82"/>
      <x:c r="C93" s="82"/>
      <x:c r="D93" s="82"/>
      <x:c r="E93" s="82"/>
      <x:c r="F93" s="82"/>
      <x:c r="G93" s="82"/>
      <x:c r="H93" s="82"/>
      <x:c r="I93" s="82"/>
      <x:c r="J93" s="26"/>
    </x:row>
    <x:row r="94">
      <x:c r="A94" s="83"/>
      <x:c r="B94" s="82"/>
      <x:c r="C94" s="82"/>
      <x:c r="D94" s="82"/>
      <x:c r="E94" s="82"/>
      <x:c r="F94" s="82"/>
      <x:c r="G94" s="82"/>
      <x:c r="H94" s="82"/>
      <x:c r="I94" s="82"/>
      <x:c r="J94" s="26"/>
    </x:row>
    <x:row r="95">
      <x:c r="A95" s="83"/>
      <x:c r="B95" s="82"/>
      <x:c r="C95" s="82"/>
      <x:c r="D95" s="82"/>
      <x:c r="E95" s="82"/>
      <x:c r="F95" s="82"/>
      <x:c r="G95" s="82"/>
      <x:c r="H95" s="82"/>
      <x:c r="I95" s="82"/>
      <x:c r="J95" s="26"/>
    </x:row>
    <x:row r="96">
      <x:c r="A96" s="83"/>
      <x:c r="B96" s="82"/>
      <x:c r="C96" s="82"/>
      <x:c r="D96" s="82"/>
      <x:c r="E96" s="82"/>
      <x:c r="F96" s="82"/>
      <x:c r="G96" s="82"/>
      <x:c r="H96" s="82"/>
      <x:c r="I96" s="82"/>
      <x:c r="J96" s="26"/>
    </x:row>
    <x:row r="97">
      <x:c r="A97" s="83"/>
      <x:c r="B97" s="82"/>
      <x:c r="C97" s="82"/>
      <x:c r="D97" s="82"/>
      <x:c r="E97" s="82"/>
      <x:c r="F97" s="82"/>
      <x:c r="G97" s="82"/>
      <x:c r="H97" s="82"/>
      <x:c r="I97" s="82"/>
      <x:c r="J97" s="26"/>
    </x:row>
    <x:row r="98">
      <x:c r="A98" s="83"/>
      <x:c r="B98" s="82"/>
      <x:c r="C98" s="82"/>
      <x:c r="D98" s="82"/>
      <x:c r="E98" s="82"/>
      <x:c r="F98" s="82"/>
      <x:c r="G98" s="82"/>
      <x:c r="H98" s="82"/>
      <x:c r="I98" s="82"/>
      <x:c r="J98" s="26"/>
    </x:row>
    <x:row r="99">
      <x:c r="A99" s="83"/>
      <x:c r="B99" s="82"/>
      <x:c r="C99" s="82"/>
      <x:c r="D99" s="82"/>
      <x:c r="E99" s="82"/>
      <x:c r="F99" s="82"/>
      <x:c r="G99" s="82"/>
      <x:c r="H99" s="82"/>
      <x:c r="I99" s="82"/>
      <x:c r="J99" s="26"/>
    </x:row>
    <x:row r="100">
      <x:c r="A100" s="83"/>
      <x:c r="B100" s="82"/>
      <x:c r="C100" s="82"/>
      <x:c r="D100" s="82"/>
      <x:c r="E100" s="82"/>
      <x:c r="F100" s="82"/>
      <x:c r="G100" s="82"/>
      <x:c r="H100" s="82"/>
      <x:c r="I100" s="82"/>
      <x:c r="J100" s="26"/>
    </x:row>
    <x:row r="101">
      <x:c r="A101" s="83"/>
      <x:c r="B101" s="82"/>
      <x:c r="C101" s="82"/>
      <x:c r="D101" s="82"/>
      <x:c r="E101" s="82"/>
      <x:c r="F101" s="82"/>
      <x:c r="G101" s="82"/>
      <x:c r="H101" s="82"/>
      <x:c r="I101" s="82"/>
      <x:c r="J101" s="26"/>
    </x:row>
    <x:row r="102">
      <x:c r="A102" s="83"/>
      <x:c r="B102" s="82"/>
      <x:c r="C102" s="82"/>
      <x:c r="D102" s="82"/>
      <x:c r="E102" s="82"/>
      <x:c r="F102" s="82"/>
      <x:c r="G102" s="82"/>
      <x:c r="H102" s="82"/>
      <x:c r="I102" s="82"/>
      <x:c r="J102" s="26"/>
    </x:row>
    <x:row r="103">
      <x:c r="A103" s="83"/>
      <x:c r="B103" s="82"/>
      <x:c r="C103" s="82"/>
      <x:c r="D103" s="82"/>
      <x:c r="E103" s="82"/>
      <x:c r="F103" s="82"/>
      <x:c r="G103" s="82"/>
      <x:c r="H103" s="82"/>
      <x:c r="I103" s="82"/>
      <x:c r="J103" s="26"/>
    </x:row>
    <x:row r="104">
      <x:c r="A104" s="83"/>
      <x:c r="B104" s="82"/>
      <x:c r="C104" s="82"/>
      <x:c r="D104" s="82"/>
      <x:c r="E104" s="82"/>
      <x:c r="F104" s="82"/>
      <x:c r="G104" s="82"/>
      <x:c r="H104" s="82"/>
      <x:c r="I104" s="82"/>
      <x:c r="J104" s="26"/>
    </x:row>
    <x:row r="105">
      <x:c r="A105" s="83"/>
      <x:c r="B105" s="82"/>
      <x:c r="C105" s="82"/>
      <x:c r="D105" s="82"/>
      <x:c r="E105" s="82"/>
      <x:c r="F105" s="82"/>
      <x:c r="G105" s="82"/>
      <x:c r="H105" s="82"/>
      <x:c r="I105" s="82"/>
      <x:c r="J105" s="26"/>
    </x:row>
    <x:row r="106">
      <x:c r="A106" s="83"/>
      <x:c r="B106" s="82"/>
      <x:c r="C106" s="82"/>
      <x:c r="D106" s="82"/>
      <x:c r="E106" s="82"/>
      <x:c r="F106" s="82"/>
      <x:c r="G106" s="82"/>
      <x:c r="H106" s="82"/>
      <x:c r="I106" s="82"/>
      <x:c r="J106" s="26"/>
    </x:row>
    <x:row r="107">
      <x:c r="A107" s="83"/>
      <x:c r="B107" s="82"/>
      <x:c r="C107" s="82"/>
      <x:c r="D107" s="82"/>
      <x:c r="E107" s="82"/>
      <x:c r="F107" s="82"/>
      <x:c r="G107" s="82"/>
      <x:c r="H107" s="82"/>
      <x:c r="I107" s="82"/>
      <x:c r="J107" s="26"/>
    </x:row>
    <x:row r="108">
      <x:c r="A108" s="83"/>
      <x:c r="B108" s="82"/>
      <x:c r="C108" s="82"/>
      <x:c r="D108" s="82"/>
      <x:c r="E108" s="82"/>
      <x:c r="F108" s="82"/>
      <x:c r="G108" s="82"/>
      <x:c r="H108" s="82"/>
      <x:c r="I108" s="82"/>
      <x:c r="J108" s="26"/>
    </x:row>
    <x:row r="109">
      <x:c r="A109" s="83"/>
      <x:c r="B109" s="82"/>
      <x:c r="C109" s="82"/>
      <x:c r="D109" s="82"/>
      <x:c r="E109" s="82"/>
      <x:c r="F109" s="82"/>
      <x:c r="G109" s="82"/>
      <x:c r="H109" s="82"/>
      <x:c r="I109" s="82"/>
      <x:c r="J109" s="26"/>
    </x:row>
    <x:row r="110">
      <x:c r="A110" s="83"/>
      <x:c r="B110" s="82"/>
      <x:c r="C110" s="82"/>
      <x:c r="D110" s="82"/>
      <x:c r="E110" s="82"/>
      <x:c r="F110" s="82"/>
      <x:c r="G110" s="82"/>
      <x:c r="H110" s="82"/>
      <x:c r="I110" s="82"/>
      <x:c r="J110" s="26"/>
    </x:row>
    <x:row r="111">
      <x:c r="A111" s="83"/>
      <x:c r="B111" s="82"/>
      <x:c r="C111" s="82"/>
      <x:c r="D111" s="82"/>
      <x:c r="E111" s="82"/>
      <x:c r="F111" s="82"/>
      <x:c r="G111" s="82"/>
      <x:c r="H111" s="82"/>
      <x:c r="I111" s="82"/>
      <x:c r="J111" s="26"/>
    </x:row>
    <x:row r="112">
      <x:c r="A112" s="83"/>
      <x:c r="B112" s="82"/>
      <x:c r="C112" s="82"/>
      <x:c r="D112" s="82"/>
      <x:c r="E112" s="82"/>
      <x:c r="F112" s="82"/>
      <x:c r="G112" s="82"/>
      <x:c r="H112" s="82"/>
      <x:c r="I112" s="82"/>
      <x:c r="J112" s="26"/>
    </x:row>
    <x:row r="113">
      <x:c r="A113" s="83"/>
      <x:c r="B113" s="82"/>
      <x:c r="C113" s="82"/>
      <x:c r="D113" s="82"/>
      <x:c r="E113" s="82"/>
      <x:c r="F113" s="82"/>
      <x:c r="G113" s="82"/>
      <x:c r="H113" s="82"/>
      <x:c r="I113" s="82"/>
      <x:c r="J113" s="26"/>
    </x:row>
    <x:row r="114">
      <x:c r="A114" s="83"/>
      <x:c r="B114" s="82"/>
      <x:c r="C114" s="82"/>
      <x:c r="D114" s="82"/>
      <x:c r="E114" s="82"/>
      <x:c r="F114" s="82"/>
      <x:c r="G114" s="82"/>
      <x:c r="H114" s="82"/>
      <x:c r="I114" s="82"/>
      <x:c r="J114" s="26"/>
    </x:row>
    <x:row r="115">
      <x:c r="A115" s="83"/>
      <x:c r="B115" s="82"/>
      <x:c r="C115" s="82"/>
      <x:c r="D115" s="82"/>
      <x:c r="E115" s="82"/>
      <x:c r="F115" s="82"/>
      <x:c r="G115" s="82"/>
      <x:c r="H115" s="82"/>
      <x:c r="I115" s="82"/>
      <x:c r="J115" s="26"/>
    </x:row>
    <x:row r="116">
      <x:c r="A116" s="83"/>
      <x:c r="B116" s="82"/>
      <x:c r="C116" s="82"/>
      <x:c r="D116" s="82"/>
      <x:c r="E116" s="82"/>
      <x:c r="F116" s="82"/>
      <x:c r="G116" s="82"/>
      <x:c r="H116" s="82"/>
      <x:c r="I116" s="82"/>
      <x:c r="J116" s="26"/>
    </x:row>
    <x:row r="117">
      <x:c r="A117" s="83"/>
      <x:c r="B117" s="82"/>
      <x:c r="C117" s="82"/>
      <x:c r="D117" s="82"/>
      <x:c r="E117" s="82"/>
      <x:c r="F117" s="82"/>
      <x:c r="G117" s="82"/>
      <x:c r="H117" s="82"/>
      <x:c r="I117" s="82"/>
      <x:c r="J117" s="26"/>
    </x:row>
    <x:row r="118">
      <x:c r="A118" s="83"/>
      <x:c r="B118" s="82"/>
      <x:c r="C118" s="82"/>
      <x:c r="D118" s="82"/>
      <x:c r="E118" s="82"/>
      <x:c r="F118" s="82"/>
      <x:c r="G118" s="82"/>
      <x:c r="H118" s="82"/>
      <x:c r="I118" s="82"/>
      <x:c r="J118" s="26"/>
    </x:row>
    <x:row r="119">
      <x:c r="A119" s="83"/>
      <x:c r="B119" s="82"/>
      <x:c r="C119" s="82"/>
      <x:c r="D119" s="82"/>
      <x:c r="E119" s="82"/>
      <x:c r="F119" s="82"/>
      <x:c r="G119" s="82"/>
      <x:c r="H119" s="82"/>
      <x:c r="I119" s="82"/>
      <x:c r="J119" s="26"/>
    </x:row>
    <x:row r="120">
      <x:c r="A120" s="83"/>
      <x:c r="B120" s="82"/>
      <x:c r="C120" s="82"/>
      <x:c r="D120" s="82"/>
      <x:c r="E120" s="82"/>
      <x:c r="F120" s="82"/>
      <x:c r="G120" s="82"/>
      <x:c r="H120" s="82"/>
      <x:c r="I120" s="82"/>
      <x:c r="J120" s="26"/>
    </x:row>
    <x:row r="121">
      <x:c r="A121" s="83"/>
      <x:c r="B121" s="82"/>
      <x:c r="C121" s="82"/>
      <x:c r="D121" s="82"/>
      <x:c r="E121" s="82"/>
      <x:c r="F121" s="82"/>
      <x:c r="G121" s="82"/>
      <x:c r="H121" s="82"/>
      <x:c r="I121" s="82"/>
      <x:c r="J121" s="26"/>
    </x:row>
    <x:row r="122">
      <x:c r="A122" s="83"/>
      <x:c r="B122" s="82"/>
      <x:c r="C122" s="82"/>
      <x:c r="D122" s="82"/>
      <x:c r="E122" s="82"/>
      <x:c r="F122" s="82"/>
      <x:c r="G122" s="82"/>
      <x:c r="H122" s="82"/>
      <x:c r="I122" s="82"/>
      <x:c r="J122" s="26"/>
    </x:row>
    <x:row r="123">
      <x:c r="A123" s="83"/>
      <x:c r="B123" s="82"/>
      <x:c r="C123" s="82"/>
      <x:c r="D123" s="82"/>
      <x:c r="E123" s="82"/>
      <x:c r="F123" s="82"/>
      <x:c r="G123" s="82"/>
      <x:c r="H123" s="82"/>
      <x:c r="I123" s="82"/>
      <x:c r="J123" s="26"/>
    </x:row>
    <x:row r="124">
      <x:c r="A124" s="83"/>
      <x:c r="B124" s="82"/>
      <x:c r="C124" s="82"/>
      <x:c r="D124" s="82"/>
      <x:c r="E124" s="82"/>
      <x:c r="F124" s="82"/>
      <x:c r="G124" s="82"/>
      <x:c r="H124" s="82"/>
      <x:c r="I124" s="82"/>
      <x:c r="J124" s="26"/>
    </x:row>
    <x:row r="125">
      <x:c r="A125" s="83"/>
      <x:c r="B125" s="82"/>
      <x:c r="C125" s="82"/>
      <x:c r="D125" s="82"/>
      <x:c r="E125" s="82"/>
      <x:c r="F125" s="82"/>
      <x:c r="G125" s="82"/>
      <x:c r="H125" s="82"/>
      <x:c r="I125" s="82"/>
      <x:c r="J125" s="26"/>
    </x:row>
    <x:row r="126">
      <x:c r="A126" s="83"/>
      <x:c r="B126" s="82"/>
      <x:c r="C126" s="82"/>
      <x:c r="D126" s="82"/>
      <x:c r="E126" s="82"/>
      <x:c r="F126" s="82"/>
      <x:c r="G126" s="82"/>
      <x:c r="H126" s="82"/>
      <x:c r="I126" s="82"/>
      <x:c r="J126" s="26"/>
    </x:row>
    <x:row r="127">
      <x:c r="A127" s="83"/>
      <x:c r="B127" s="82"/>
      <x:c r="C127" s="82"/>
      <x:c r="D127" s="82"/>
      <x:c r="E127" s="82"/>
      <x:c r="F127" s="82"/>
      <x:c r="G127" s="82"/>
      <x:c r="H127" s="82"/>
      <x:c r="I127" s="82"/>
      <x:c r="J127" s="26"/>
    </x:row>
    <x:row r="128">
      <x:c r="A128" s="83"/>
      <x:c r="B128" s="82"/>
      <x:c r="C128" s="82"/>
      <x:c r="D128" s="82"/>
      <x:c r="E128" s="82"/>
      <x:c r="F128" s="82"/>
      <x:c r="G128" s="82"/>
      <x:c r="H128" s="82"/>
      <x:c r="I128" s="82"/>
      <x:c r="J128" s="26"/>
    </x:row>
    <x:row r="129">
      <x:c r="A129" s="83"/>
      <x:c r="B129" s="82"/>
      <x:c r="C129" s="82"/>
      <x:c r="D129" s="82"/>
      <x:c r="E129" s="82"/>
      <x:c r="F129" s="82"/>
      <x:c r="G129" s="82"/>
      <x:c r="H129" s="82"/>
      <x:c r="I129" s="82"/>
      <x:c r="J129" s="26"/>
    </x:row>
    <x:row r="130">
      <x:c r="A130" s="83"/>
      <x:c r="B130" s="82"/>
      <x:c r="C130" s="82"/>
      <x:c r="D130" s="82"/>
      <x:c r="E130" s="82"/>
      <x:c r="F130" s="82"/>
      <x:c r="G130" s="82"/>
      <x:c r="H130" s="82"/>
      <x:c r="I130" s="82"/>
      <x:c r="J130" s="26"/>
    </x:row>
    <x:row r="131">
      <x:c r="A131" s="83"/>
      <x:c r="B131" s="82"/>
      <x:c r="C131" s="82"/>
      <x:c r="D131" s="82"/>
      <x:c r="E131" s="82"/>
      <x:c r="F131" s="82"/>
      <x:c r="G131" s="82"/>
      <x:c r="H131" s="82"/>
      <x:c r="I131" s="82"/>
      <x:c r="J131" s="26"/>
    </x:row>
    <x:row r="132">
      <x:c r="A132" s="83"/>
      <x:c r="B132" s="82"/>
      <x:c r="C132" s="82"/>
      <x:c r="D132" s="82"/>
      <x:c r="E132" s="82"/>
      <x:c r="F132" s="82"/>
      <x:c r="G132" s="82"/>
      <x:c r="H132" s="82"/>
      <x:c r="I132" s="82"/>
      <x:c r="J132" s="26"/>
    </x:row>
    <x:row r="133">
      <x:c r="A133" s="83"/>
      <x:c r="B133" s="82"/>
      <x:c r="C133" s="82"/>
      <x:c r="D133" s="82"/>
      <x:c r="E133" s="82"/>
      <x:c r="F133" s="82"/>
      <x:c r="G133" s="82"/>
      <x:c r="H133" s="82"/>
      <x:c r="I133" s="82"/>
      <x:c r="J133" s="26"/>
    </x:row>
    <x:row r="134">
      <x:c r="A134" s="83"/>
      <x:c r="B134" s="82"/>
      <x:c r="C134" s="82"/>
      <x:c r="D134" s="82"/>
      <x:c r="E134" s="82"/>
      <x:c r="F134" s="82"/>
      <x:c r="G134" s="82"/>
      <x:c r="H134" s="82"/>
      <x:c r="I134" s="82"/>
      <x:c r="J134" s="26"/>
    </x:row>
    <x:row r="135">
      <x:c r="A135" s="83"/>
      <x:c r="B135" s="82"/>
      <x:c r="C135" s="82"/>
      <x:c r="D135" s="82"/>
      <x:c r="E135" s="82"/>
      <x:c r="F135" s="82"/>
      <x:c r="G135" s="82"/>
      <x:c r="H135" s="82"/>
      <x:c r="I135" s="82"/>
      <x:c r="J135" s="26"/>
    </x:row>
    <x:row r="136">
      <x:c r="A136" s="83"/>
      <x:c r="B136" s="82"/>
      <x:c r="C136" s="82"/>
      <x:c r="D136" s="82"/>
      <x:c r="E136" s="82"/>
      <x:c r="F136" s="82"/>
      <x:c r="G136" s="82"/>
      <x:c r="H136" s="82"/>
      <x:c r="I136" s="82"/>
      <x:c r="J136" s="26"/>
    </x:row>
    <x:row r="137">
      <x:c r="A137" s="83"/>
      <x:c r="B137" s="82"/>
      <x:c r="C137" s="82"/>
      <x:c r="D137" s="82"/>
      <x:c r="E137" s="82"/>
      <x:c r="F137" s="82"/>
      <x:c r="G137" s="82"/>
      <x:c r="H137" s="82"/>
      <x:c r="I137" s="82"/>
      <x:c r="J137" s="26"/>
    </x:row>
    <x:row r="138">
      <x:c r="A138" s="83"/>
      <x:c r="B138" s="82"/>
      <x:c r="C138" s="82"/>
      <x:c r="D138" s="82"/>
      <x:c r="E138" s="82"/>
      <x:c r="F138" s="82"/>
      <x:c r="G138" s="82"/>
      <x:c r="H138" s="82"/>
      <x:c r="I138" s="82"/>
      <x:c r="J138" s="26"/>
    </x:row>
    <x:row r="139">
      <x:c r="A139" s="83"/>
      <x:c r="B139" s="82"/>
      <x:c r="C139" s="82"/>
      <x:c r="D139" s="82"/>
      <x:c r="E139" s="82"/>
      <x:c r="F139" s="82"/>
      <x:c r="G139" s="82"/>
      <x:c r="H139" s="82"/>
      <x:c r="I139" s="82"/>
      <x:c r="J139" s="26"/>
    </x:row>
    <x:row r="140">
      <x:c r="A140" s="83"/>
      <x:c r="B140" s="82"/>
      <x:c r="C140" s="82"/>
      <x:c r="D140" s="82"/>
      <x:c r="E140" s="82"/>
      <x:c r="F140" s="82"/>
      <x:c r="G140" s="82"/>
      <x:c r="H140" s="82"/>
      <x:c r="I140" s="82"/>
      <x:c r="J140" s="26"/>
    </x:row>
    <x:row r="141">
      <x:c r="A141" s="83"/>
      <x:c r="B141" s="82"/>
      <x:c r="C141" s="82"/>
      <x:c r="D141" s="82"/>
      <x:c r="E141" s="82"/>
      <x:c r="F141" s="82"/>
      <x:c r="G141" s="82"/>
      <x:c r="H141" s="82"/>
      <x:c r="I141" s="82"/>
      <x:c r="J141" s="26"/>
    </x:row>
    <x:row r="142">
      <x:c r="A142" s="83"/>
      <x:c r="B142" s="82"/>
      <x:c r="C142" s="82"/>
      <x:c r="D142" s="82"/>
      <x:c r="E142" s="82"/>
      <x:c r="F142" s="82"/>
      <x:c r="G142" s="82"/>
      <x:c r="H142" s="82"/>
      <x:c r="I142" s="82"/>
      <x:c r="J142" s="26"/>
    </x:row>
    <x:row r="143">
      <x:c r="A143" s="83"/>
      <x:c r="B143" s="82"/>
      <x:c r="C143" s="82"/>
      <x:c r="D143" s="82"/>
      <x:c r="E143" s="82"/>
      <x:c r="F143" s="82"/>
      <x:c r="G143" s="82"/>
      <x:c r="H143" s="82"/>
      <x:c r="I143" s="82"/>
      <x:c r="J143" s="26"/>
    </x:row>
    <x:row r="144">
      <x:c r="A144" s="83"/>
      <x:c r="B144" s="82"/>
      <x:c r="C144" s="82"/>
      <x:c r="D144" s="82"/>
      <x:c r="E144" s="82"/>
      <x:c r="F144" s="82"/>
      <x:c r="G144" s="82"/>
      <x:c r="H144" s="82"/>
      <x:c r="I144" s="82"/>
      <x:c r="J144" s="26"/>
    </x:row>
    <x:row r="145">
      <x:c r="A145" s="83"/>
      <x:c r="B145" s="82"/>
      <x:c r="C145" s="82"/>
      <x:c r="D145" s="82"/>
      <x:c r="E145" s="82"/>
      <x:c r="F145" s="82"/>
      <x:c r="G145" s="82"/>
      <x:c r="H145" s="82"/>
      <x:c r="I145" s="82"/>
      <x:c r="J145" s="26"/>
    </x:row>
    <x:row r="146">
      <x:c r="A146" s="83"/>
      <x:c r="B146" s="82"/>
      <x:c r="C146" s="82"/>
      <x:c r="D146" s="82"/>
      <x:c r="E146" s="82"/>
      <x:c r="F146" s="82"/>
      <x:c r="G146" s="82"/>
      <x:c r="H146" s="82"/>
      <x:c r="I146" s="82"/>
      <x:c r="J146" s="26"/>
    </x:row>
    <x:row r="147">
      <x:c r="A147" s="83"/>
      <x:c r="B147" s="82"/>
      <x:c r="C147" s="82"/>
      <x:c r="D147" s="82"/>
      <x:c r="E147" s="82"/>
      <x:c r="F147" s="82"/>
      <x:c r="G147" s="82"/>
      <x:c r="H147" s="82"/>
      <x:c r="I147" s="82"/>
      <x:c r="J147" s="26"/>
    </x:row>
    <x:row r="148">
      <x:c r="A148" s="83"/>
      <x:c r="B148" s="82"/>
      <x:c r="C148" s="82"/>
      <x:c r="D148" s="82"/>
      <x:c r="E148" s="82"/>
      <x:c r="F148" s="82"/>
      <x:c r="G148" s="82"/>
      <x:c r="H148" s="82"/>
      <x:c r="I148" s="82"/>
      <x:c r="J148" s="26"/>
    </x:row>
    <x:row r="149">
      <x:c r="A149" s="83"/>
      <x:c r="B149" s="82"/>
      <x:c r="C149" s="82"/>
      <x:c r="D149" s="82"/>
      <x:c r="E149" s="82"/>
      <x:c r="F149" s="82"/>
      <x:c r="G149" s="82"/>
      <x:c r="H149" s="82"/>
      <x:c r="I149" s="82"/>
      <x:c r="J149" s="26"/>
    </x:row>
    <x:row r="150">
      <x:c r="A150" s="83"/>
      <x:c r="B150" s="82"/>
      <x:c r="C150" s="82"/>
      <x:c r="D150" s="82"/>
      <x:c r="E150" s="82"/>
      <x:c r="F150" s="82"/>
      <x:c r="G150" s="82"/>
      <x:c r="H150" s="82"/>
      <x:c r="I150" s="82"/>
      <x:c r="J150" s="26"/>
    </x:row>
    <x:row r="151">
      <x:c r="A151" s="83"/>
      <x:c r="B151" s="82"/>
      <x:c r="C151" s="82"/>
      <x:c r="D151" s="82"/>
      <x:c r="E151" s="82"/>
      <x:c r="F151" s="82"/>
      <x:c r="G151" s="82"/>
      <x:c r="H151" s="82"/>
      <x:c r="I151" s="82"/>
      <x:c r="J151" s="26"/>
    </x:row>
    <x:row r="152">
      <x:c r="A152" s="83"/>
      <x:c r="B152" s="82"/>
      <x:c r="C152" s="82"/>
      <x:c r="D152" s="82"/>
      <x:c r="E152" s="82"/>
      <x:c r="F152" s="82"/>
      <x:c r="G152" s="82"/>
      <x:c r="H152" s="82"/>
      <x:c r="I152" s="82"/>
      <x:c r="J152" s="26"/>
    </x:row>
    <x:row r="153">
      <x:c r="A153" s="83"/>
      <x:c r="B153" s="82"/>
      <x:c r="C153" s="82"/>
      <x:c r="D153" s="82"/>
      <x:c r="E153" s="82"/>
      <x:c r="F153" s="82"/>
      <x:c r="G153" s="82"/>
      <x:c r="H153" s="82"/>
      <x:c r="I153" s="82"/>
      <x:c r="J153" s="26"/>
    </x:row>
    <x:row r="154">
      <x:c r="A154" s="83"/>
      <x:c r="B154" s="82"/>
      <x:c r="C154" s="82"/>
      <x:c r="D154" s="82"/>
      <x:c r="E154" s="82"/>
      <x:c r="F154" s="82"/>
      <x:c r="G154" s="82"/>
      <x:c r="H154" s="82"/>
      <x:c r="I154" s="82"/>
      <x:c r="J154" s="26"/>
    </x:row>
    <x:row r="155">
      <x:c r="A155" s="83"/>
      <x:c r="B155" s="82"/>
      <x:c r="C155" s="82"/>
      <x:c r="D155" s="82"/>
      <x:c r="E155" s="82"/>
      <x:c r="F155" s="82"/>
      <x:c r="G155" s="82"/>
      <x:c r="H155" s="82"/>
      <x:c r="I155" s="82"/>
      <x:c r="J155" s="26"/>
    </x:row>
    <x:row r="156">
      <x:c r="A156" s="83"/>
      <x:c r="B156" s="82"/>
      <x:c r="C156" s="82"/>
      <x:c r="D156" s="82"/>
      <x:c r="E156" s="82"/>
      <x:c r="F156" s="82"/>
      <x:c r="G156" s="82"/>
      <x:c r="H156" s="82"/>
      <x:c r="I156" s="82"/>
      <x:c r="J156" s="26"/>
    </x:row>
    <x:row r="157">
      <x:c r="A157" s="83"/>
      <x:c r="B157" s="82"/>
      <x:c r="C157" s="82"/>
      <x:c r="D157" s="82"/>
      <x:c r="E157" s="82"/>
      <x:c r="F157" s="82"/>
      <x:c r="G157" s="82"/>
      <x:c r="H157" s="82"/>
      <x:c r="I157" s="82"/>
      <x:c r="J157" s="26"/>
    </x:row>
    <x:row r="158">
      <x:c r="A158" s="83"/>
      <x:c r="B158" s="82"/>
      <x:c r="C158" s="82"/>
      <x:c r="D158" s="82"/>
      <x:c r="E158" s="82"/>
      <x:c r="F158" s="82"/>
      <x:c r="G158" s="82"/>
      <x:c r="H158" s="82"/>
      <x:c r="I158" s="82"/>
      <x:c r="J158" s="26"/>
    </x:row>
    <x:row r="159">
      <x:c r="A159" s="83"/>
      <x:c r="B159" s="82"/>
      <x:c r="C159" s="82"/>
      <x:c r="D159" s="82"/>
      <x:c r="E159" s="82"/>
      <x:c r="F159" s="82"/>
      <x:c r="G159" s="82"/>
      <x:c r="H159" s="82"/>
      <x:c r="I159" s="82"/>
      <x:c r="J159" s="26"/>
    </x:row>
    <x:row r="160">
      <x:c r="A160" s="83"/>
      <x:c r="B160" s="82"/>
      <x:c r="C160" s="82"/>
      <x:c r="D160" s="82"/>
      <x:c r="E160" s="82"/>
      <x:c r="F160" s="82"/>
      <x:c r="G160" s="82"/>
      <x:c r="H160" s="82"/>
      <x:c r="I160" s="82"/>
      <x:c r="J160" s="26"/>
    </x:row>
    <x:row r="161">
      <x:c r="A161" s="83"/>
      <x:c r="B161" s="82"/>
      <x:c r="C161" s="82"/>
      <x:c r="D161" s="82"/>
      <x:c r="E161" s="82"/>
      <x:c r="F161" s="82"/>
      <x:c r="G161" s="82"/>
      <x:c r="H161" s="82"/>
      <x:c r="I161" s="82"/>
      <x:c r="J161" s="26"/>
    </x:row>
    <x:row r="162">
      <x:c r="A162" s="83"/>
      <x:c r="B162" s="82"/>
      <x:c r="C162" s="82"/>
      <x:c r="D162" s="82"/>
      <x:c r="E162" s="82"/>
      <x:c r="F162" s="82"/>
      <x:c r="G162" s="82"/>
      <x:c r="H162" s="82"/>
      <x:c r="I162" s="82"/>
      <x:c r="J162" s="26"/>
    </x:row>
    <x:row r="163">
      <x:c r="A163" s="83"/>
      <x:c r="B163" s="82"/>
      <x:c r="C163" s="82"/>
      <x:c r="D163" s="82"/>
      <x:c r="E163" s="82"/>
      <x:c r="F163" s="82"/>
      <x:c r="G163" s="82"/>
      <x:c r="H163" s="82"/>
      <x:c r="I163" s="82"/>
      <x:c r="J163" s="26"/>
    </x:row>
    <x:row r="164">
      <x:c r="A164" s="83"/>
      <x:c r="B164" s="82"/>
      <x:c r="C164" s="82"/>
      <x:c r="D164" s="82"/>
      <x:c r="E164" s="82"/>
      <x:c r="F164" s="82"/>
      <x:c r="G164" s="82"/>
      <x:c r="H164" s="82"/>
      <x:c r="I164" s="82"/>
      <x:c r="J164" s="26"/>
    </x:row>
    <x:row r="165">
      <x:c r="A165" s="83"/>
      <x:c r="B165" s="82"/>
      <x:c r="C165" s="82"/>
      <x:c r="D165" s="82"/>
      <x:c r="E165" s="82"/>
      <x:c r="F165" s="82"/>
      <x:c r="G165" s="82"/>
      <x:c r="H165" s="82"/>
      <x:c r="I165" s="82"/>
      <x:c r="J165" s="26"/>
    </x:row>
    <x:row r="166">
      <x:c r="A166" s="83"/>
      <x:c r="B166" s="82"/>
      <x:c r="C166" s="82"/>
      <x:c r="D166" s="82"/>
      <x:c r="E166" s="82"/>
      <x:c r="F166" s="82"/>
      <x:c r="G166" s="82"/>
      <x:c r="H166" s="82"/>
      <x:c r="I166" s="82"/>
      <x:c r="J166" s="26"/>
    </x:row>
    <x:row r="167">
      <x:c r="A167" s="83"/>
      <x:c r="B167" s="82"/>
      <x:c r="C167" s="82"/>
      <x:c r="D167" s="82"/>
      <x:c r="E167" s="82"/>
      <x:c r="F167" s="82"/>
      <x:c r="G167" s="82"/>
      <x:c r="H167" s="82"/>
      <x:c r="I167" s="82"/>
      <x:c r="J167" s="26"/>
    </x:row>
    <x:row r="168">
      <x:c r="A168" s="83"/>
      <x:c r="B168" s="82"/>
      <x:c r="C168" s="82"/>
      <x:c r="D168" s="82"/>
      <x:c r="E168" s="82"/>
      <x:c r="F168" s="82"/>
      <x:c r="G168" s="82"/>
      <x:c r="H168" s="82"/>
      <x:c r="I168" s="82"/>
      <x:c r="J168" s="26"/>
    </x:row>
    <x:row r="169">
      <x:c r="A169" s="83"/>
      <x:c r="B169" s="82"/>
      <x:c r="C169" s="82"/>
      <x:c r="D169" s="82"/>
      <x:c r="E169" s="82"/>
      <x:c r="F169" s="82"/>
      <x:c r="G169" s="82"/>
      <x:c r="H169" s="82"/>
      <x:c r="I169" s="82"/>
      <x:c r="J169" s="26"/>
    </x:row>
    <x:row r="170">
      <x:c r="A170" s="83"/>
      <x:c r="B170" s="82"/>
      <x:c r="C170" s="82"/>
      <x:c r="D170" s="82"/>
      <x:c r="E170" s="82"/>
      <x:c r="F170" s="82"/>
      <x:c r="G170" s="82"/>
      <x:c r="H170" s="82"/>
      <x:c r="I170" s="82"/>
      <x:c r="J170" s="26"/>
    </x:row>
    <x:row r="171">
      <x:c r="A171" s="83"/>
      <x:c r="B171" s="82"/>
      <x:c r="C171" s="82"/>
      <x:c r="D171" s="82"/>
      <x:c r="E171" s="82"/>
      <x:c r="F171" s="82"/>
      <x:c r="G171" s="82"/>
      <x:c r="H171" s="82"/>
      <x:c r="I171" s="82"/>
      <x:c r="J171" s="26"/>
    </x:row>
    <x:row r="172">
      <x:c r="A172" s="83"/>
      <x:c r="B172" s="82"/>
      <x:c r="C172" s="82"/>
      <x:c r="D172" s="82"/>
      <x:c r="E172" s="82"/>
      <x:c r="F172" s="82"/>
      <x:c r="G172" s="82"/>
      <x:c r="H172" s="82"/>
      <x:c r="I172" s="82"/>
      <x:c r="J172" s="26"/>
    </x:row>
    <x:row r="173">
      <x:c r="A173" s="83"/>
      <x:c r="B173" s="82"/>
      <x:c r="C173" s="82"/>
      <x:c r="D173" s="82"/>
      <x:c r="E173" s="82"/>
      <x:c r="F173" s="82"/>
      <x:c r="G173" s="82"/>
      <x:c r="H173" s="82"/>
      <x:c r="I173" s="82"/>
      <x:c r="J173" s="26"/>
    </x:row>
    <x:row r="174">
      <x:c r="A174" s="83"/>
      <x:c r="B174" s="82"/>
      <x:c r="C174" s="82"/>
      <x:c r="D174" s="82"/>
      <x:c r="E174" s="82"/>
      <x:c r="F174" s="82"/>
      <x:c r="G174" s="82"/>
      <x:c r="H174" s="82"/>
      <x:c r="I174" s="82"/>
      <x:c r="J174" s="26"/>
    </x:row>
    <x:row r="175">
      <x:c r="A175" s="83"/>
      <x:c r="B175" s="82"/>
      <x:c r="C175" s="82"/>
      <x:c r="D175" s="82"/>
      <x:c r="E175" s="82"/>
      <x:c r="F175" s="82"/>
      <x:c r="G175" s="82"/>
      <x:c r="H175" s="82"/>
      <x:c r="I175" s="82"/>
      <x:c r="J175" s="26"/>
    </x:row>
    <x:row r="176">
      <x:c r="A176" s="83"/>
      <x:c r="B176" s="82"/>
      <x:c r="C176" s="82"/>
      <x:c r="D176" s="82"/>
      <x:c r="E176" s="82"/>
      <x:c r="F176" s="82"/>
      <x:c r="G176" s="82"/>
      <x:c r="H176" s="82"/>
      <x:c r="I176" s="82"/>
      <x:c r="J176" s="26"/>
    </x:row>
    <x:row r="177">
      <x:c r="A177" s="83"/>
      <x:c r="B177" s="82"/>
      <x:c r="C177" s="82"/>
      <x:c r="D177" s="82"/>
      <x:c r="E177" s="82"/>
      <x:c r="F177" s="82"/>
      <x:c r="G177" s="82"/>
      <x:c r="H177" s="82"/>
      <x:c r="I177" s="82"/>
      <x:c r="J177" s="26"/>
    </x:row>
    <x:row r="178">
      <x:c r="A178" s="83"/>
      <x:c r="B178" s="82"/>
      <x:c r="C178" s="82"/>
      <x:c r="D178" s="82"/>
      <x:c r="E178" s="82"/>
      <x:c r="F178" s="82"/>
      <x:c r="G178" s="82"/>
      <x:c r="H178" s="82"/>
      <x:c r="I178" s="82"/>
      <x:c r="J178" s="26"/>
    </x:row>
    <x:row r="179">
      <x:c r="A179" s="83"/>
      <x:c r="B179" s="82"/>
      <x:c r="C179" s="82"/>
      <x:c r="D179" s="82"/>
      <x:c r="E179" s="82"/>
      <x:c r="F179" s="82"/>
      <x:c r="G179" s="82"/>
      <x:c r="H179" s="82"/>
      <x:c r="I179" s="82"/>
      <x:c r="J179" s="26"/>
    </x:row>
    <x:row r="180">
      <x:c r="A180" s="83"/>
      <x:c r="B180" s="82"/>
      <x:c r="C180" s="82"/>
      <x:c r="D180" s="82"/>
      <x:c r="E180" s="82"/>
      <x:c r="F180" s="82"/>
      <x:c r="G180" s="82"/>
      <x:c r="H180" s="82"/>
      <x:c r="I180" s="82"/>
      <x:c r="J180" s="26"/>
    </x:row>
    <x:row r="181">
      <x:c r="A181" s="83"/>
      <x:c r="B181" s="82"/>
      <x:c r="C181" s="82"/>
      <x:c r="D181" s="82"/>
      <x:c r="E181" s="82"/>
      <x:c r="F181" s="82"/>
      <x:c r="G181" s="82"/>
      <x:c r="H181" s="82"/>
      <x:c r="I181" s="82"/>
      <x:c r="J181" s="26"/>
    </x:row>
    <x:row r="182">
      <x:c r="A182" s="83"/>
      <x:c r="B182" s="82"/>
      <x:c r="C182" s="82"/>
      <x:c r="D182" s="82"/>
      <x:c r="E182" s="82"/>
      <x:c r="F182" s="82"/>
      <x:c r="G182" s="82"/>
      <x:c r="H182" s="82"/>
      <x:c r="I182" s="82"/>
      <x:c r="J182" s="26"/>
    </x:row>
    <x:row r="183">
      <x:c r="A183" s="83"/>
      <x:c r="B183" s="82"/>
      <x:c r="C183" s="82"/>
      <x:c r="D183" s="82"/>
      <x:c r="E183" s="82"/>
      <x:c r="F183" s="82"/>
      <x:c r="G183" s="82"/>
      <x:c r="H183" s="82"/>
      <x:c r="I183" s="82"/>
      <x:c r="J183" s="26"/>
    </x:row>
    <x:row r="184">
      <x:c r="A184" s="83"/>
      <x:c r="B184" s="82"/>
      <x:c r="C184" s="82"/>
      <x:c r="D184" s="82"/>
      <x:c r="E184" s="82"/>
      <x:c r="F184" s="82"/>
      <x:c r="G184" s="82"/>
      <x:c r="H184" s="82"/>
      <x:c r="I184" s="82"/>
      <x:c r="J184" s="26"/>
    </x:row>
    <x:row r="185">
      <x:c r="A185" s="83"/>
      <x:c r="B185" s="82"/>
      <x:c r="C185" s="82"/>
      <x:c r="D185" s="82"/>
      <x:c r="E185" s="82"/>
      <x:c r="F185" s="82"/>
      <x:c r="G185" s="82"/>
      <x:c r="H185" s="82"/>
      <x:c r="I185" s="82"/>
      <x:c r="J185" s="26"/>
    </x:row>
    <x:row r="186">
      <x:c r="A186" s="83"/>
      <x:c r="B186" s="82"/>
      <x:c r="C186" s="82"/>
      <x:c r="D186" s="82"/>
      <x:c r="E186" s="82"/>
      <x:c r="F186" s="82"/>
      <x:c r="G186" s="82"/>
      <x:c r="H186" s="82"/>
      <x:c r="I186" s="82"/>
      <x:c r="J186" s="26"/>
    </x:row>
    <x:row r="187">
      <x:c r="A187" s="83"/>
      <x:c r="B187" s="82"/>
      <x:c r="C187" s="82"/>
      <x:c r="D187" s="82"/>
      <x:c r="E187" s="82"/>
      <x:c r="F187" s="82"/>
      <x:c r="G187" s="82"/>
      <x:c r="H187" s="82"/>
      <x:c r="I187" s="82"/>
      <x:c r="J187" s="26"/>
    </x:row>
    <x:row r="188">
      <x:c r="A188" s="83"/>
      <x:c r="B188" s="82"/>
      <x:c r="C188" s="82"/>
      <x:c r="D188" s="82"/>
      <x:c r="E188" s="82"/>
      <x:c r="F188" s="82"/>
      <x:c r="G188" s="82"/>
      <x:c r="H188" s="82"/>
      <x:c r="I188" s="82"/>
      <x:c r="J188" s="26"/>
    </x:row>
    <x:row r="189">
      <x:c r="A189" s="83"/>
      <x:c r="B189" s="82"/>
      <x:c r="C189" s="82"/>
      <x:c r="D189" s="82"/>
      <x:c r="E189" s="82"/>
      <x:c r="F189" s="82"/>
      <x:c r="G189" s="82"/>
      <x:c r="H189" s="82"/>
      <x:c r="I189" s="82"/>
      <x:c r="J189" s="26"/>
    </x:row>
    <x:row r="190">
      <x:c r="A190" s="83"/>
      <x:c r="B190" s="82"/>
      <x:c r="C190" s="82"/>
      <x:c r="D190" s="82"/>
      <x:c r="E190" s="82"/>
      <x:c r="F190" s="82"/>
      <x:c r="G190" s="82"/>
      <x:c r="H190" s="82"/>
      <x:c r="I190" s="82"/>
      <x:c r="J190" s="26"/>
    </x:row>
    <x:row r="191">
      <x:c r="A191" s="83"/>
      <x:c r="B191" s="82"/>
      <x:c r="C191" s="82"/>
      <x:c r="D191" s="82"/>
      <x:c r="E191" s="82"/>
      <x:c r="F191" s="82"/>
      <x:c r="G191" s="82"/>
      <x:c r="H191" s="82"/>
      <x:c r="I191" s="82"/>
      <x:c r="J191" s="26"/>
    </x:row>
    <x:row r="192">
      <x:c r="A192" s="83"/>
      <x:c r="B192" s="82"/>
      <x:c r="C192" s="82"/>
      <x:c r="D192" s="82"/>
      <x:c r="E192" s="82"/>
      <x:c r="F192" s="82"/>
      <x:c r="G192" s="82"/>
      <x:c r="H192" s="82"/>
      <x:c r="I192" s="82"/>
      <x:c r="J192" s="26"/>
    </x:row>
    <x:row r="193">
      <x:c r="A193" s="83"/>
      <x:c r="B193" s="82"/>
      <x:c r="C193" s="82"/>
      <x:c r="D193" s="82"/>
      <x:c r="E193" s="82"/>
      <x:c r="F193" s="82"/>
      <x:c r="G193" s="82"/>
      <x:c r="H193" s="82"/>
      <x:c r="I193" s="82"/>
      <x:c r="J193" s="26"/>
    </x:row>
    <x:row r="194">
      <x:c r="A194" s="83"/>
      <x:c r="B194" s="82"/>
      <x:c r="C194" s="82"/>
      <x:c r="D194" s="82"/>
      <x:c r="E194" s="82"/>
      <x:c r="F194" s="82"/>
      <x:c r="G194" s="82"/>
      <x:c r="H194" s="82"/>
      <x:c r="I194" s="82"/>
      <x:c r="J194" s="26"/>
    </x:row>
    <x:row r="195">
      <x:c r="A195" s="83"/>
      <x:c r="B195" s="82"/>
      <x:c r="C195" s="82"/>
      <x:c r="D195" s="82"/>
      <x:c r="E195" s="82"/>
      <x:c r="F195" s="82"/>
      <x:c r="G195" s="82"/>
      <x:c r="H195" s="82"/>
      <x:c r="I195" s="82"/>
      <x:c r="J195" s="26"/>
    </x:row>
    <x:row r="196">
      <x:c r="A196" s="83"/>
      <x:c r="B196" s="82"/>
      <x:c r="C196" s="82"/>
      <x:c r="D196" s="82"/>
      <x:c r="E196" s="82"/>
      <x:c r="F196" s="82"/>
      <x:c r="G196" s="82"/>
      <x:c r="H196" s="82"/>
      <x:c r="I196" s="82"/>
      <x:c r="J196" s="26"/>
    </x:row>
    <x:row r="197">
      <x:c r="A197" s="83"/>
      <x:c r="B197" s="82"/>
      <x:c r="C197" s="82"/>
      <x:c r="D197" s="82"/>
      <x:c r="E197" s="82"/>
      <x:c r="F197" s="82"/>
      <x:c r="G197" s="82"/>
      <x:c r="H197" s="82"/>
      <x:c r="I197" s="82"/>
      <x:c r="J197" s="26"/>
    </x:row>
    <x:row r="198">
      <x:c r="A198" s="83"/>
      <x:c r="B198" s="82"/>
      <x:c r="C198" s="82"/>
      <x:c r="D198" s="82"/>
      <x:c r="E198" s="82"/>
      <x:c r="F198" s="82"/>
      <x:c r="G198" s="82"/>
      <x:c r="H198" s="82"/>
      <x:c r="I198" s="82"/>
      <x:c r="J198" s="26"/>
    </x:row>
    <x:row r="199">
      <x:c r="A199" s="83"/>
      <x:c r="B199" s="82"/>
      <x:c r="C199" s="82"/>
      <x:c r="D199" s="82"/>
      <x:c r="E199" s="82"/>
      <x:c r="F199" s="82"/>
      <x:c r="G199" s="82"/>
      <x:c r="H199" s="82"/>
      <x:c r="I199" s="82"/>
      <x:c r="J199" s="26"/>
    </x:row>
    <x:row r="200">
      <x:c r="A200" s="83"/>
      <x:c r="B200" s="82"/>
      <x:c r="C200" s="82"/>
      <x:c r="D200" s="82"/>
      <x:c r="E200" s="82"/>
      <x:c r="F200" s="82"/>
      <x:c r="G200" s="82"/>
      <x:c r="H200" s="82"/>
      <x:c r="I200" s="82"/>
      <x:c r="J200" s="26"/>
    </x:row>
    <x:row r="201">
      <x:c r="A201" s="83"/>
      <x:c r="B201" s="82"/>
      <x:c r="C201" s="82"/>
      <x:c r="D201" s="82"/>
      <x:c r="E201" s="82"/>
      <x:c r="F201" s="82"/>
      <x:c r="G201" s="82"/>
      <x:c r="H201" s="82"/>
      <x:c r="I201" s="82"/>
      <x:c r="J201" s="26"/>
    </x:row>
    <x:row r="202">
      <x:c r="A202" s="83"/>
      <x:c r="B202" s="82"/>
      <x:c r="C202" s="82"/>
      <x:c r="D202" s="82"/>
      <x:c r="E202" s="82"/>
      <x:c r="F202" s="82"/>
      <x:c r="G202" s="82"/>
      <x:c r="H202" s="82"/>
      <x:c r="I202" s="82"/>
      <x:c r="J202" s="26"/>
    </x:row>
    <x:row r="203">
      <x:c r="A203" s="83"/>
      <x:c r="B203" s="82"/>
      <x:c r="C203" s="82"/>
      <x:c r="D203" s="82"/>
      <x:c r="E203" s="82"/>
      <x:c r="F203" s="82"/>
      <x:c r="G203" s="82"/>
      <x:c r="H203" s="82"/>
      <x:c r="I203" s="82"/>
      <x:c r="J203" s="26"/>
    </x:row>
    <x:row r="204">
      <x:c r="A204" s="86"/>
      <x:c r="B204" s="85"/>
      <x:c r="C204" s="85"/>
      <x:c r="D204" s="85"/>
      <x:c r="E204" s="85"/>
      <x:c r="F204" s="85"/>
      <x:c r="G204" s="85"/>
      <x:c r="H204" s="85"/>
      <x:c r="I204" s="85"/>
      <x:c r="J204" s="27"/>
    </x:row>
  </x:sheetData>
  <x:mergeCells>
    <x:mergeCell ref="A1:J1"/>
    <x:mergeCell ref="A2:J2"/>
  </x:mergeCells>
  <x:dataValidations count="2">
    <x:dataValidation type="whole" operator="between" sqref="E5:E204">
      <x:formula1>1</x:formula1>
      <x:formula2>5</x:formula2>
    </x:dataValidation>
    <x:dataValidation type="list" sqref="I5:I204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4" hidden="0" customWidth="1"/>
    <x:col min="4" max="4" width="44" hidden="0" customWidth="1"/>
    <x:col min="5" max="5" width="56" hidden="0" customWidth="1"/>
    <x:col min="6" max="6" width="16" hidden="0" customWidth="1"/>
    <x:col min="7" max="7" width="18" hidden="0" customWidth="1"/>
    <x:col min="8" max="8" width="16" hidden="0" customWidth="1"/>
  </x:cols>
  <x:sheetData>
    <x:row r="1" ht="34" customHeight="1">
      <x:c r="A1" s="3" t="str">
        <x:v>Feedback → Product Improvement Log</x:v>
      </x:c>
      <x:c r="B1" s="3" t="str">
        <x:v>Feedback → Product Improvement Log</x:v>
      </x:c>
      <x:c r="C1" s="3" t="str">
        <x:v>Feedback → Product Improvement Log</x:v>
      </x:c>
      <x:c r="D1" s="3" t="str">
        <x:v>Feedback → Product Improvement Log</x:v>
      </x:c>
      <x:c r="E1" s="3" t="str">
        <x:v>Feedback → Product Improvement Log</x:v>
      </x:c>
      <x:c r="F1" s="3" t="str">
        <x:v>Feedback → Product Improvement Log</x:v>
      </x:c>
      <x:c r="G1" s="3" t="str">
        <x:v>Feedback → Product Improvement Log</x:v>
      </x:c>
      <x:c r="H1" s="3" t="str">
        <x:v>Feedback → Product Improvement Log</x:v>
      </x:c>
    </x:row>
    <x:row r="2" ht="25" customHeight="1">
      <x:c r="A2" s="5" t="str">
        <x:v>Every claimed iteration should trace to evidence and a public GitHub commit.</x:v>
      </x:c>
      <x:c r="B2" s="5" t="str">
        <x:v>Every claimed iteration should trace to evidence and a public GitHub commit.</x:v>
      </x:c>
      <x:c r="C2" s="5" t="str">
        <x:v>Every claimed iteration should trace to evidence and a public GitHub commit.</x:v>
      </x:c>
      <x:c r="D2" s="5" t="str">
        <x:v>Every claimed iteration should trace to evidence and a public GitHub commit.</x:v>
      </x:c>
      <x:c r="E2" s="5" t="str">
        <x:v>Every claimed iteration should trace to evidence and a public GitHub commit.</x:v>
      </x:c>
      <x:c r="F2" s="5" t="str">
        <x:v>Every claimed iteration should trace to evidence and a public GitHub commit.</x:v>
      </x:c>
      <x:c r="G2" s="5" t="str">
        <x:v>Every claimed iteration should trace to evidence and a public GitHub commit.</x:v>
      </x:c>
      <x:c r="H2" s="5" t="str">
        <x:v>Every claimed iteration should trace to evidence and a public GitHub commit.</x:v>
      </x:c>
    </x:row>
    <x:row r="4" ht="30" customHeight="1">
      <x:c r="A4" s="12" t="str">
        <x:v>Feedback Theme</x:v>
      </x:c>
      <x:c r="B4" s="72" t="str">
        <x:v>Evidence / Count</x:v>
      </x:c>
      <x:c r="C4" s="72" t="str">
        <x:v>Decision</x:v>
      </x:c>
      <x:c r="D4" s="72" t="str">
        <x:v>Change Implemented</x:v>
      </x:c>
      <x:c r="E4" s="72" t="str">
        <x:v>Commit URL</x:v>
      </x:c>
      <x:c r="F4" s="72" t="str">
        <x:v>Status</x:v>
      </x:c>
      <x:c r="G4" s="72" t="str">
        <x:v>Owner</x:v>
      </x:c>
      <x:c r="H4" s="13" t="str">
        <x:v>Target Date</x:v>
      </x:c>
    </x:row>
    <x:row r="5" ht="64" customHeight="1">
      <x:c r="A5" s="79" t="str">
        <x:v>Reviewer: no substantial change beyond CI/CD</x:v>
      </x:c>
      <x:c r="B5" s="79" t="str">
        <x:v>August review comment · 1</x:v>
      </x:c>
      <x:c r="C5" s="79" t="str">
        <x:v>Ship a user-facing activation and proof workflow</x:v>
      </x:c>
      <x:c r="D5" s="79" t="str">
        <x:v>v0.4 Growth Lab: role missions, Horizon checks, referrals, feedback handoff</x:v>
      </x:c>
      <x:c r="E5" s="79" t="str">
        <x:v>https://github.com/emretasss/agentrail-stellar/commit/46db3475e2d787714e0429ed24cc7e78940eeb2e</x:v>
      </x:c>
      <x:c r="F5" s="79" t="str">
        <x:v>Shipped</x:v>
      </x:c>
      <x:c r="G5" s="79" t="str">
        <x:v>Emre</x:v>
      </x:c>
      <x:c r="H5" s="91" t="n">
        <x:v>46249</x:v>
      </x:c>
    </x:row>
    <x:row r="6">
      <x:c r="A6" s="82"/>
      <x:c r="B6" s="82"/>
      <x:c r="C6" s="82"/>
      <x:c r="D6" s="82"/>
      <x:c r="E6" s="82"/>
      <x:c r="F6" s="82"/>
      <x:c r="G6" s="82"/>
      <x:c r="H6" s="92"/>
    </x:row>
    <x:row r="7">
      <x:c r="A7" s="82"/>
      <x:c r="B7" s="82"/>
      <x:c r="C7" s="82"/>
      <x:c r="D7" s="82"/>
      <x:c r="E7" s="82"/>
      <x:c r="F7" s="82"/>
      <x:c r="G7" s="82"/>
      <x:c r="H7" s="92"/>
    </x:row>
    <x:row r="8">
      <x:c r="A8" s="82"/>
      <x:c r="B8" s="82"/>
      <x:c r="C8" s="82"/>
      <x:c r="D8" s="82"/>
      <x:c r="E8" s="82"/>
      <x:c r="F8" s="82"/>
      <x:c r="G8" s="82"/>
      <x:c r="H8" s="92"/>
    </x:row>
    <x:row r="9">
      <x:c r="A9" s="82"/>
      <x:c r="B9" s="82"/>
      <x:c r="C9" s="82"/>
      <x:c r="D9" s="82"/>
      <x:c r="E9" s="82"/>
      <x:c r="F9" s="82"/>
      <x:c r="G9" s="82"/>
      <x:c r="H9" s="92"/>
    </x:row>
    <x:row r="10">
      <x:c r="A10" s="82"/>
      <x:c r="B10" s="82"/>
      <x:c r="C10" s="82"/>
      <x:c r="D10" s="82"/>
      <x:c r="E10" s="82"/>
      <x:c r="F10" s="82"/>
      <x:c r="G10" s="82"/>
      <x:c r="H10" s="92"/>
    </x:row>
    <x:row r="11">
      <x:c r="A11" s="82"/>
      <x:c r="B11" s="82"/>
      <x:c r="C11" s="82"/>
      <x:c r="D11" s="82"/>
      <x:c r="E11" s="82"/>
      <x:c r="F11" s="82"/>
      <x:c r="G11" s="82"/>
      <x:c r="H11" s="92"/>
    </x:row>
    <x:row r="12">
      <x:c r="A12" s="82"/>
      <x:c r="B12" s="82"/>
      <x:c r="C12" s="82"/>
      <x:c r="D12" s="82"/>
      <x:c r="E12" s="82"/>
      <x:c r="F12" s="82"/>
      <x:c r="G12" s="82"/>
      <x:c r="H12" s="92"/>
    </x:row>
    <x:row r="13">
      <x:c r="A13" s="82"/>
      <x:c r="B13" s="82"/>
      <x:c r="C13" s="82"/>
      <x:c r="D13" s="82"/>
      <x:c r="E13" s="82"/>
      <x:c r="F13" s="82"/>
      <x:c r="G13" s="82"/>
      <x:c r="H13" s="92"/>
    </x:row>
    <x:row r="14">
      <x:c r="A14" s="82"/>
      <x:c r="B14" s="82"/>
      <x:c r="C14" s="82"/>
      <x:c r="D14" s="82"/>
      <x:c r="E14" s="82"/>
      <x:c r="F14" s="82"/>
      <x:c r="G14" s="82"/>
      <x:c r="H14" s="92"/>
    </x:row>
    <x:row r="15">
      <x:c r="A15" s="82"/>
      <x:c r="B15" s="82"/>
      <x:c r="C15" s="82"/>
      <x:c r="D15" s="82"/>
      <x:c r="E15" s="82"/>
      <x:c r="F15" s="82"/>
      <x:c r="G15" s="82"/>
      <x:c r="H15" s="92"/>
    </x:row>
    <x:row r="16">
      <x:c r="A16" s="82"/>
      <x:c r="B16" s="82"/>
      <x:c r="C16" s="82"/>
      <x:c r="D16" s="82"/>
      <x:c r="E16" s="82"/>
      <x:c r="F16" s="82"/>
      <x:c r="G16" s="82"/>
      <x:c r="H16" s="92"/>
    </x:row>
    <x:row r="17">
      <x:c r="A17" s="82"/>
      <x:c r="B17" s="82"/>
      <x:c r="C17" s="82"/>
      <x:c r="D17" s="82"/>
      <x:c r="E17" s="82"/>
      <x:c r="F17" s="82"/>
      <x:c r="G17" s="82"/>
      <x:c r="H17" s="92"/>
    </x:row>
    <x:row r="18">
      <x:c r="A18" s="82"/>
      <x:c r="B18" s="82"/>
      <x:c r="C18" s="82"/>
      <x:c r="D18" s="82"/>
      <x:c r="E18" s="82"/>
      <x:c r="F18" s="82"/>
      <x:c r="G18" s="82"/>
      <x:c r="H18" s="92"/>
    </x:row>
    <x:row r="19">
      <x:c r="A19" s="82"/>
      <x:c r="B19" s="82"/>
      <x:c r="C19" s="82"/>
      <x:c r="D19" s="82"/>
      <x:c r="E19" s="82"/>
      <x:c r="F19" s="82"/>
      <x:c r="G19" s="82"/>
      <x:c r="H19" s="92"/>
    </x:row>
    <x:row r="20">
      <x:c r="A20" s="82"/>
      <x:c r="B20" s="82"/>
      <x:c r="C20" s="82"/>
      <x:c r="D20" s="82"/>
      <x:c r="E20" s="82"/>
      <x:c r="F20" s="82"/>
      <x:c r="G20" s="82"/>
      <x:c r="H20" s="92"/>
    </x:row>
    <x:row r="21">
      <x:c r="A21" s="82"/>
      <x:c r="B21" s="82"/>
      <x:c r="C21" s="82"/>
      <x:c r="D21" s="82"/>
      <x:c r="E21" s="82"/>
      <x:c r="F21" s="82"/>
      <x:c r="G21" s="82"/>
      <x:c r="H21" s="92"/>
    </x:row>
    <x:row r="22">
      <x:c r="A22" s="82"/>
      <x:c r="B22" s="82"/>
      <x:c r="C22" s="82"/>
      <x:c r="D22" s="82"/>
      <x:c r="E22" s="82"/>
      <x:c r="F22" s="82"/>
      <x:c r="G22" s="82"/>
      <x:c r="H22" s="92"/>
    </x:row>
    <x:row r="23">
      <x:c r="A23" s="82"/>
      <x:c r="B23" s="82"/>
      <x:c r="C23" s="82"/>
      <x:c r="D23" s="82"/>
      <x:c r="E23" s="82"/>
      <x:c r="F23" s="82"/>
      <x:c r="G23" s="82"/>
      <x:c r="H23" s="92"/>
    </x:row>
    <x:row r="24">
      <x:c r="A24" s="85"/>
      <x:c r="B24" s="85"/>
      <x:c r="C24" s="85"/>
      <x:c r="D24" s="85"/>
      <x:c r="E24" s="85"/>
      <x:c r="F24" s="85"/>
      <x:c r="G24" s="85"/>
      <x:c r="H24" s="93"/>
    </x:row>
  </x:sheetData>
  <x:mergeCells>
    <x:mergeCell ref="A1:H1"/>
    <x:mergeCell ref="A2:H2"/>
  </x:mergeCells>
  <x:conditionalFormatting sqref="F5:F24">
    <x:cfRule type="containsText" dxfId="4" priority="1" operator="containsText" text="Shipped"/>
    <x:cfRule type="containsText" dxfId="5" priority="2" operator="containsText" text="In progress"/>
  </x:conditionalFormatting>
  <x:dataValidations count="1">
    <x:dataValidation type="list" sqref="F5:F24">
      <x:formula1>"Planned,In progress,Shipped,Rejected"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2" hidden="0" customWidth="1"/>
    <x:col min="4" max="4" width="36" hidden="0" customWidth="1"/>
    <x:col min="5" max="5" width="34" hidden="0" customWidth="1"/>
    <x:col min="6" max="6" width="44" hidden="0" customWidth="1"/>
  </x:cols>
  <x:sheetData>
    <x:row r="1" ht="34" customHeight="1">
      <x:c r="A1" s="3" t="str">
        <x:v>Level 5 Evidence Workflow</x:v>
      </x:c>
      <x:c r="B1" s="3" t="str">
        <x:v>Level 5 Evidence Workflow</x:v>
      </x:c>
      <x:c r="C1" s="3" t="str">
        <x:v>Level 5 Evidence Workflow</x:v>
      </x:c>
      <x:c r="D1" s="3" t="str">
        <x:v>Level 5 Evidence Workflow</x:v>
      </x:c>
      <x:c r="E1" s="3" t="str">
        <x:v>Level 5 Evidence Workflow</x:v>
      </x:c>
      <x:c r="F1" s="3" t="str">
        <x:v>Level 5 Evidence Workflow</x:v>
      </x:c>
    </x:row>
    <x:row r="2" ht="25" customHeight="1">
      <x:c r="A2" s="5" t="str">
        <x:v>Use this workbook with the AgentRail onboarding form and public Testnet evidence.</x:v>
      </x:c>
      <x:c r="B2" s="5" t="str">
        <x:v>Use this workbook with the AgentRail onboarding form and public Testnet evidence.</x:v>
      </x:c>
      <x:c r="C2" s="5" t="str">
        <x:v>Use this workbook with the AgentRail onboarding form and public Testnet evidence.</x:v>
      </x:c>
      <x:c r="D2" s="5" t="str">
        <x:v>Use this workbook with the AgentRail onboarding form and public Testnet evidence.</x:v>
      </x:c>
      <x:c r="E2" s="5" t="str">
        <x:v>Use this workbook with the AgentRail onboarding form and public Testnet evidence.</x:v>
      </x:c>
      <x:c r="F2" s="5" t="str">
        <x:v>Use this workbook with the AgentRail onboarding form and public Testnet evidence.</x:v>
      </x:c>
    </x:row>
    <x:row r="4" ht="30" customHeight="1">
      <x:c r="A4" s="12" t="str">
        <x:v>Step</x:v>
      </x:c>
      <x:c r="B4" s="72" t="str">
        <x:v>Owner</x:v>
      </x:c>
      <x:c r="C4" s="72" t="str">
        <x:v>Action</x:v>
      </x:c>
      <x:c r="D4" s="72" t="str">
        <x:v>Required Evidence</x:v>
      </x:c>
      <x:c r="E4" s="72" t="str">
        <x:v>Done When</x:v>
      </x:c>
      <x:c r="F4" s="13" t="str">
        <x:v>Notes</x:v>
      </x:c>
    </x:row>
    <x:row r="5">
      <x:c r="A5" s="79" t="n">
        <x:v>1</x:v>
      </x:c>
      <x:c r="B5" s="79" t="str">
        <x:v>Project owner</x:v>
      </x:c>
      <x:c r="C5" s="79" t="str">
        <x:v>Publish the Google Form</x:v>
      </x:c>
      <x:c r="D5" s="79" t="str">
        <x:v>Form URL with required fields</x:v>
      </x:c>
      <x:c r="E5" s="79" t="str">
        <x:v>README contains the live URL</x:v>
      </x:c>
      <x:c r="F5" s="79" t="str">
        <x:v>Collect informed consent for public evidence.</x:v>
      </x:c>
    </x:row>
    <x:row r="6">
      <x:c r="A6" s="82" t="n">
        <x:v>2</x:v>
      </x:c>
      <x:c r="B6" s="82" t="str">
        <x:v>Participant</x:v>
      </x:c>
      <x:c r="C6" s="82" t="str">
        <x:v>Complete onboarding and connect a unique Testnet wallet</x:v>
      </x:c>
      <x:c r="D6" s="82" t="str">
        <x:v>Name, email, wallet</x:v>
      </x:c>
      <x:c r="E6" s="82" t="str">
        <x:v>One real person maps to one wallet row</x:v>
      </x:c>
      <x:c r="F6" s="82" t="str">
        <x:v>Never create wallets on behalf of fake users.</x:v>
      </x:c>
    </x:row>
    <x:row r="7">
      <x:c r="A7" s="82" t="n">
        <x:v>3</x:v>
      </x:c>
      <x:c r="B7" s="82" t="str">
        <x:v>Participant</x:v>
      </x:c>
      <x:c r="C7" s="82" t="str">
        <x:v>Perform a meaningful contract action</x:v>
      </x:c>
      <x:c r="D7" s="82" t="str">
        <x:v>Successful transaction hash</x:v>
      </x:c>
      <x:c r="E7" s="82" t="str">
        <x:v>Hash resolves on Stellar Testnet</x:v>
      </x:c>
      <x:c r="F7" s="82" t="str">
        <x:v>A wallet connection alone is insufficient.</x:v>
      </x:c>
    </x:row>
    <x:row r="8">
      <x:c r="A8" s="82" t="n">
        <x:v>4</x:v>
      </x:c>
      <x:c r="B8" s="82" t="str">
        <x:v>Participant</x:v>
      </x:c>
      <x:c r="C8" s="82" t="str">
        <x:v>Submit product rating and written feedback</x:v>
      </x:c>
      <x:c r="D8" s="82" t="str">
        <x:v>1–5 score plus actionable comment</x:v>
      </x:c>
      <x:c r="E8" s="82" t="str">
        <x:v>Response appears in Form Responses</x:v>
      </x:c>
      <x:c r="F8" s="82" t="str">
        <x:v>Avoid collecting secrets or private keys.</x:v>
      </x:c>
    </x:row>
    <x:row r="9">
      <x:c r="A9" s="82" t="n">
        <x:v>5</x:v>
      </x:c>
      <x:c r="B9" s="82" t="str">
        <x:v>Project owner</x:v>
      </x:c>
      <x:c r="C9" s="82" t="str">
        <x:v>Verify and deduplicate</x:v>
      </x:c>
      <x:c r="D9" s="82" t="str">
        <x:v>Participants Status = Verified</x:v>
      </x:c>
      <x:c r="E9" s="82" t="str">
        <x:v>50 unique verified rows</x:v>
      </x:c>
      <x:c r="F9" s="82" t="str">
        <x:v>Keep incomplete rows visible; do not inflate counts.</x:v>
      </x:c>
    </x:row>
    <x:row r="10">
      <x:c r="A10" s="82" t="n">
        <x:v>6</x:v>
      </x:c>
      <x:c r="B10" s="82" t="str">
        <x:v>Project owner</x:v>
      </x:c>
      <x:c r="C10" s="82" t="str">
        <x:v>Analyze feedback and implement changes</x:v>
      </x:c>
      <x:c r="D10" s="82" t="str">
        <x:v>Improvement Log plus commit URLs</x:v>
      </x:c>
      <x:c r="E10" s="82" t="str">
        <x:v>Each shipped change links evidence to code</x:v>
      </x:c>
      <x:c r="F10" s="82" t="str">
        <x:v>Use anonymized themes in public documentation.</x:v>
      </x:c>
    </x:row>
    <x:row r="11">
      <x:c r="A11" s="85" t="n">
        <x:v>7</x:v>
      </x:c>
      <x:c r="B11" s="85" t="str">
        <x:v>Project owner</x:v>
      </x:c>
      <x:c r="C11" s="85" t="str">
        <x:v>Export and publish evidence</x:v>
      </x:c>
      <x:c r="D11" s="85" t="str">
        <x:v>Excel link, analytics screenshots, transaction links</x:v>
      </x:c>
      <x:c r="E11" s="85" t="str">
        <x:v>README Level 5 checklist is complete</x:v>
      </x:c>
      <x:c r="F11" s="85" t="str">
        <x:v>Publish a redacted copy if consent does not cover personal data.</x:v>
      </x:c>
    </x:row>
    <x:row r="12">
      <x:c r="A12" s="97"/>
      <x:c r="B12" s="97"/>
      <x:c r="C12" s="97"/>
      <x:c r="D12" s="97"/>
      <x:c r="E12" s="97"/>
      <x:c r="F12" s="97"/>
    </x:row>
    <x:row r="13">
      <x:c r="A13" s="96" t="str">
        <x:v>Important privacy note: the program asks for name and email, but a public GitHub repository should not expose personal data without explicit consent. Keep the full workbook private when needed and publish a consented/redacted evidence copy or a restricted Google Drive link accepted by the reviewers.</x:v>
      </x:c>
      <x:c r="B13" s="96"/>
      <x:c r="C13" s="96"/>
      <x:c r="D13" s="96"/>
      <x:c r="E13" s="96"/>
      <x:c r="F13" s="96"/>
    </x:row>
    <x:row r="14">
      <x:c r="A14" s="96" t="str">
        <x:v>Public references: https://agentrail-stellar.vercel.app • https://github.com/emretasss/agentrail-stellar • https://stellar.expert/explorer/testnet/contract/CB6QV6VUJH4FRSLZRTOV2HBIIXSZ4V2YRTCE3S5U4KCLZE7QFW4YTLV5</x:v>
      </x:c>
      <x:c r="B14" s="96"/>
      <x:c r="C14" s="96"/>
      <x:c r="D14" s="96"/>
      <x:c r="E14" s="96"/>
      <x:c r="F14" s="96"/>
    </x:row>
    <x:row r="15">
      <x:c r="A15" s="96" t="str">
        <x:v>Validation principle: evidence must be attributable, deduplicated, and reproducible. Blank rows are targets—not users.</x:v>
      </x:c>
      <x:c r="B15" s="96"/>
      <x:c r="C15" s="96"/>
      <x:c r="D15" s="96"/>
      <x:c r="E15" s="96"/>
      <x:c r="F15" s="96"/>
    </x:row>
    <x:row r="16" ht="32" customHeight="1">
      <x:c r="A16" s="107" t="str">
        <x:v>Reviewer iteration trace: Growth Lab shipped in https://github.com/emretasss/agentrail-stellar/commit/46db3475e2d787714e0429ed24cc7e78940eeb2e. The 50-user cohort remains pending real, consented participants.</x:v>
      </x:c>
      <x:c r="B16" s="107" t="str">
        <x:v>Reviewer iteration trace: Growth Lab shipped in https://github.com/emretasss/agentrail-stellar/commit/46db3475e2d787714e0429ed24cc7e78940eeb2e. The 50-user cohort remains pending real, consented participants.</x:v>
      </x:c>
      <x:c r="C16" s="107" t="str">
        <x:v>Reviewer iteration trace: Growth Lab shipped in https://github.com/emretasss/agentrail-stellar/commit/46db3475e2d787714e0429ed24cc7e78940eeb2e. The 50-user cohort remains pending real, consented participants.</x:v>
      </x:c>
      <x:c r="D16" s="107" t="str">
        <x:v>Reviewer iteration trace: Growth Lab shipped in https://github.com/emretasss/agentrail-stellar/commit/46db3475e2d787714e0429ed24cc7e78940eeb2e. The 50-user cohort remains pending real, consented participants.</x:v>
      </x:c>
      <x:c r="E16" s="107" t="str">
        <x:v>Reviewer iteration trace: Growth Lab shipped in https://github.com/emretasss/agentrail-stellar/commit/46db3475e2d787714e0429ed24cc7e78940eeb2e. The 50-user cohort remains pending real, consented participants.</x:v>
      </x:c>
      <x:c r="F16" s="107" t="str">
        <x:v>Reviewer iteration trace: Growth Lab shipped in https://github.com/emretasss/agentrail-stellar/commit/46db3475e2d787714e0429ed24cc7e78940eeb2e. The 50-user cohort remains pending real, consented participants.</x:v>
      </x:c>
    </x:row>
  </x:sheetData>
  <x:mergeCells>
    <x:mergeCell ref="A1:F1"/>
    <x:mergeCell ref="A2:F2"/>
    <x:mergeCell ref="A13:F13"/>
    <x:mergeCell ref="A14:F14"/>
    <x:mergeCell ref="A15:F15"/>
    <x:mergeCell ref="A16:F16"/>
  </x:mergeCells>
  <x:pageMargins left="0.7" right="0.7" top="0.75" bottom="0.75" header="0.3" footer="0.3"/>
</x:worksheet>
</file>